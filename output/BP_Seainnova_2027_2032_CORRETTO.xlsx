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40" yWindow="500" windowWidth="37760" windowHeight="14960" tabRatio="500" firstSheet="0" activeTab="4" autoFilterDateGrouping="1"/>
  </bookViews>
  <sheets>
    <sheet name="COPERTINA" sheetId="1" state="visible" r:id="rId1"/>
    <sheet name="INDICE" sheetId="2" state="visible" r:id="rId2"/>
    <sheet name="RELAZIONE" sheetId="3" state="visible" r:id="rId3"/>
    <sheet name="Leggenda" sheetId="4" state="visible" r:id="rId4"/>
    <sheet name="Assunzioni" sheetId="5" state="visible" r:id="rId5"/>
    <sheet name="BP_Seainnova 2027_2032" sheetId="6" state="visible" r:id="rId6"/>
    <sheet name="DASHBOARD" sheetId="7" state="visible" r:id="rId7"/>
    <sheet name="Piano_Finanziario" sheetId="8" state="visible" r:id="rId8"/>
    <sheet name="Conto_Economico" sheetId="9" state="visible" r:id="rId9"/>
    <sheet name="Glossario" sheetId="10" state="visible" r:id="rId10"/>
    <sheet name="NaviGoo24 B2B Detail" sheetId="11" state="visible" r:id="rId11"/>
    <sheet name="Grafici NaviGoo24" sheetId="12" state="visible" r:id="rId12"/>
    <sheet name="ANALISI BEP" sheetId="13" state="visible" r:id="rId13"/>
    <sheet name="COERENZA_FLUSSI" sheetId="14" state="visible" r:id="rId1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\%"/>
    <numFmt numFmtId="165" formatCode="#,##0\€"/>
    <numFmt numFmtId="166" formatCode="0.0%"/>
  </numFmts>
  <fonts count="85">
    <font>
      <name val="Rockwell"/>
      <charset val="1"/>
      <family val="2"/>
      <color theme="1"/>
      <sz val="11"/>
    </font>
    <font>
      <name val="Rockwell"/>
      <charset val="1"/>
      <family val="2"/>
      <color rgb="FFFFFF00"/>
      <sz val="11"/>
    </font>
    <font>
      <name val="Rockwell"/>
      <charset val="1"/>
      <family val="2"/>
      <color rgb="FFFFFF00"/>
      <sz val="36"/>
    </font>
    <font>
      <name val="Rockwell"/>
      <charset val="1"/>
      <family val="2"/>
      <color rgb="FFFFFF00"/>
      <sz val="26"/>
    </font>
    <font>
      <name val="Rockwell"/>
      <charset val="1"/>
      <family val="2"/>
      <color rgb="FFFFFF00"/>
      <sz val="20"/>
    </font>
    <font>
      <name val="Rockwell"/>
      <charset val="1"/>
      <family val="2"/>
      <color rgb="FFFFFF00"/>
      <sz val="16"/>
    </font>
    <font>
      <name val="Rockwell"/>
      <charset val="1"/>
      <family val="2"/>
      <color theme="1"/>
      <sz val="20"/>
    </font>
    <font>
      <name val="Calibri"/>
      <charset val="1"/>
      <family val="2"/>
      <b val="1"/>
      <sz val="20"/>
    </font>
    <font>
      <name val="Calibri"/>
      <charset val="1"/>
      <family val="2"/>
      <b val="1"/>
      <color rgb="FF1F4E78"/>
      <sz val="20"/>
    </font>
    <font>
      <name val="Calibri"/>
      <charset val="1"/>
      <family val="2"/>
      <b val="1"/>
      <color rgb="FF538135"/>
      <sz val="20"/>
    </font>
    <font>
      <name val="Calibri"/>
      <charset val="1"/>
      <family val="2"/>
      <color rgb="FF0563C1"/>
      <sz val="20"/>
      <u val="single"/>
    </font>
    <font>
      <name val="Calibri"/>
      <charset val="1"/>
      <family val="2"/>
      <b val="1"/>
      <color rgb="FFC00000"/>
      <sz val="20"/>
    </font>
    <font>
      <name val="Calibri"/>
      <charset val="1"/>
      <family val="2"/>
      <b val="1"/>
      <color rgb="FF1F4E78"/>
      <sz val="16"/>
    </font>
    <font>
      <name val="Calibri"/>
      <charset val="1"/>
      <family val="2"/>
      <i val="1"/>
      <color rgb="FF666666"/>
      <sz val="10"/>
    </font>
    <font>
      <name val="Calibri"/>
      <charset val="1"/>
      <family val="2"/>
      <b val="1"/>
      <color rgb="FF1F4E78"/>
      <sz val="12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CC000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1F4E78"/>
      <sz val="11"/>
    </font>
    <font>
      <name val="Calibri"/>
      <charset val="1"/>
      <family val="2"/>
      <b val="1"/>
      <color rgb="FFCC0000"/>
      <sz val="12"/>
    </font>
    <font>
      <name val="Calibri"/>
      <charset val="1"/>
      <family val="2"/>
      <color rgb="FFCC0000"/>
      <sz val="11"/>
    </font>
    <font>
      <name val="Calibri"/>
      <charset val="1"/>
      <family val="2"/>
      <i val="1"/>
      <color rgb="FF999999"/>
      <sz val="9"/>
    </font>
    <font>
      <name val="Calibri"/>
      <charset val="1"/>
      <family val="2"/>
      <sz val="10"/>
    </font>
    <font>
      <name val="Calibri"/>
      <charset val="1"/>
      <family val="2"/>
      <color rgb="FF1F4E78"/>
      <sz val="10"/>
    </font>
    <font>
      <name val="Rockwell"/>
      <charset val="1"/>
      <family val="2"/>
      <b val="1"/>
      <color rgb="FF1F4E78"/>
      <sz val="11"/>
    </font>
    <font>
      <name val="Rockwell"/>
      <charset val="1"/>
      <family val="2"/>
      <i val="1"/>
      <color rgb="FF666666"/>
      <sz val="11"/>
    </font>
    <font>
      <name val="Rockwell"/>
      <charset val="1"/>
      <family val="2"/>
      <b val="1"/>
      <color rgb="FFFFFFFF"/>
      <sz val="11"/>
    </font>
    <font>
      <name val="Rockwell"/>
      <charset val="1"/>
      <family val="2"/>
      <color rgb="FF000000"/>
      <sz val="11"/>
    </font>
    <font>
      <name val="Rockwell"/>
      <charset val="1"/>
      <family val="2"/>
      <b val="1"/>
      <sz val="11"/>
    </font>
    <font>
      <name val="Rockwell"/>
      <charset val="1"/>
      <family val="2"/>
      <b val="1"/>
      <color rgb="FF006100"/>
      <sz val="11"/>
    </font>
    <font>
      <name val="Rockwell"/>
      <charset val="1"/>
      <family val="2"/>
      <i val="1"/>
      <sz val="11"/>
    </font>
    <font>
      <name val="Rockwell"/>
      <charset val="1"/>
      <family val="2"/>
      <color rgb="FF666666"/>
      <sz val="11"/>
    </font>
    <font>
      <name val="Calibri"/>
      <charset val="1"/>
      <family val="2"/>
      <b val="1"/>
      <color rgb="FF1F4E78"/>
      <sz val="14"/>
    </font>
    <font>
      <name val="Calibri"/>
      <charset val="1"/>
      <family val="2"/>
      <i val="1"/>
      <color rgb="FF666666"/>
      <sz val="9"/>
    </font>
    <font>
      <name val="Rockwell"/>
      <charset val="1"/>
      <family val="2"/>
      <color rgb="FFFF0000"/>
      <sz val="11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i val="1"/>
      <color rgb="FFFF0000"/>
      <sz val="10"/>
    </font>
    <font>
      <name val="Rockwell"/>
      <charset val="1"/>
      <family val="2"/>
      <color theme="1"/>
      <sz val="16"/>
    </font>
    <font>
      <name val="Calibri"/>
      <charset val="1"/>
      <family val="2"/>
      <i val="1"/>
      <color rgb="FF666666"/>
      <sz val="16"/>
    </font>
    <font>
      <name val="Calibri"/>
      <charset val="1"/>
      <family val="2"/>
      <b val="1"/>
      <sz val="16"/>
    </font>
    <font>
      <name val="Calibri"/>
      <charset val="1"/>
      <family val="2"/>
      <b val="1"/>
      <color rgb="FFFFFFFF"/>
      <sz val="16"/>
    </font>
    <font>
      <name val="Rockwell"/>
      <charset val="1"/>
      <family val="2"/>
      <color theme="1"/>
      <sz val="14"/>
    </font>
    <font>
      <name val="Calibri"/>
      <charset val="1"/>
      <family val="2"/>
      <i val="1"/>
      <color rgb="FF666666"/>
      <sz val="14"/>
    </font>
    <font>
      <name val="Calibri"/>
      <charset val="1"/>
      <family val="2"/>
      <b val="1"/>
      <color rgb="FFFFFFFF"/>
      <sz val="14"/>
    </font>
    <font>
      <name val="Calibri"/>
      <charset val="1"/>
      <family val="2"/>
      <b val="1"/>
      <color rgb="FF006100"/>
      <sz val="14"/>
    </font>
    <font>
      <name val="Calibri"/>
      <charset val="1"/>
      <family val="2"/>
      <b val="1"/>
      <sz val="14"/>
    </font>
    <font>
      <name val="Calibri"/>
      <charset val="1"/>
      <family val="2"/>
      <sz val="14"/>
    </font>
    <font>
      <name val="Rockwell"/>
      <charset val="1"/>
      <family val="2"/>
      <b val="1"/>
      <color theme="1"/>
      <sz val="16"/>
    </font>
    <font>
      <name val="Calibri"/>
      <charset val="1"/>
      <family val="2"/>
      <i val="1"/>
      <color rgb="FFFF0000"/>
      <sz val="16"/>
    </font>
    <font>
      <name val="Calibri"/>
      <charset val="1"/>
      <family val="2"/>
      <b val="1"/>
      <color theme="0"/>
      <sz val="11"/>
    </font>
    <font>
      <name val="Calibri"/>
      <charset val="1"/>
      <family val="2"/>
      <i val="1"/>
      <color theme="1"/>
      <sz val="10"/>
    </font>
    <font>
      <name val="Calibri"/>
      <charset val="1"/>
      <family val="2"/>
      <b val="1"/>
      <color theme="1"/>
      <sz val="11"/>
    </font>
    <font>
      <name val="Rockwell"/>
      <family val="1"/>
      <b val="1"/>
      <color theme="1"/>
      <sz val="11"/>
    </font>
    <font>
      <name val="Rockwell"/>
      <charset val="1"/>
      <family val="2"/>
      <color theme="0"/>
      <sz val="11"/>
    </font>
    <font>
      <name val="Rockwell"/>
      <charset val="1"/>
      <family val="2"/>
      <color rgb="FFFFFF00"/>
      <sz val="22"/>
    </font>
    <font>
      <name val="Rockwell"/>
      <charset val="1"/>
      <family val="2"/>
      <color theme="1"/>
      <sz val="22"/>
    </font>
    <font>
      <name val="Rockwell"/>
      <charset val="1"/>
      <family val="2"/>
      <color rgb="FF0070C0"/>
      <sz val="20"/>
    </font>
    <font>
      <name val="Calibri"/>
      <charset val="1"/>
      <family val="2"/>
      <color rgb="FF0070C0"/>
      <sz val="20"/>
      <u val="single"/>
    </font>
    <font>
      <name val="Arial"/>
      <family val="2"/>
      <b val="1"/>
      <color rgb="FF1F3864"/>
      <sz val="14"/>
    </font>
    <font>
      <name val="Arial"/>
      <family val="2"/>
      <i val="1"/>
      <color rgb="FF666666"/>
      <sz val="10"/>
    </font>
    <font>
      <name val="Arial"/>
      <family val="2"/>
      <b val="1"/>
      <color rgb="FF1F3864"/>
      <sz val="10"/>
    </font>
    <font>
      <name val="Arial"/>
      <family val="2"/>
      <b val="1"/>
      <color rgb="FFFFFFFF"/>
      <sz val="9"/>
    </font>
    <font>
      <name val="Arial"/>
      <family val="2"/>
      <b val="1"/>
      <color rgb="FF1F3864"/>
      <sz val="9"/>
    </font>
    <font>
      <name val="Arial"/>
      <family val="2"/>
      <sz val="9"/>
    </font>
    <font>
      <name val="Arial"/>
      <family val="2"/>
      <b val="1"/>
      <color rgb="FF1A7A2E"/>
      <sz val="9"/>
    </font>
    <font>
      <name val="Arial"/>
      <family val="2"/>
      <b val="1"/>
      <sz val="9"/>
    </font>
    <font>
      <name val="Arial"/>
      <family val="2"/>
      <b val="1"/>
      <color rgb="FFCC0000"/>
      <sz val="9"/>
    </font>
    <font>
      <name val="Arial"/>
      <family val="2"/>
      <i val="1"/>
      <color rgb="FF888888"/>
      <sz val="8"/>
    </font>
    <font>
      <name val="Arial"/>
      <family val="2"/>
      <b val="1"/>
      <color rgb="FF1F3864"/>
      <sz val="11"/>
    </font>
    <font>
      <name val="Calibri"/>
      <b val="1"/>
      <color rgb="FFFFFFFF"/>
      <sz val="20"/>
    </font>
    <font>
      <name val="Calibri"/>
      <i val="1"/>
      <color rgb="FFFFFFFF"/>
      <sz val="12"/>
    </font>
    <font>
      <b val="1"/>
      <i val="1"/>
      <color rgb="FFFFFFFF"/>
      <sz val="14"/>
    </font>
    <font>
      <name val="Calibri"/>
      <b val="1"/>
      <color rgb="FFFFFFFF"/>
      <sz val="10"/>
    </font>
    <font>
      <b val="1"/>
    </font>
    <font>
      <name val="Calibri"/>
      <i val="1"/>
      <color rgb="FF7F6000"/>
      <sz val="9"/>
    </font>
    <font>
      <name val="Calibri"/>
      <b val="1"/>
      <color rgb="FFFFFFFF"/>
      <sz val="11"/>
    </font>
    <font>
      <name val="Calibri"/>
      <color rgb="FFFFFFFF"/>
      <sz val="10"/>
    </font>
    <font>
      <name val="Calibri"/>
      <b val="1"/>
      <color rgb="FF000000"/>
      <sz val="11"/>
    </font>
    <font>
      <name val="Calibri"/>
      <i val="1"/>
      <color rgb="FF7F6000"/>
      <sz val="10"/>
    </font>
    <font>
      <name val="Calibri"/>
      <b val="1"/>
      <color rgb="FF1F4E79"/>
      <sz val="18"/>
    </font>
    <font>
      <name val="Calibri"/>
      <b val="1"/>
      <color rgb="FFFFFFFF"/>
      <sz val="14"/>
    </font>
    <font>
      <name val="Calibri"/>
      <b val="1"/>
      <color rgb="FF1F4E79"/>
      <sz val="12"/>
    </font>
    <font>
      <name val="Calibri"/>
      <color rgb="FFAAAAAA"/>
      <sz val="10"/>
    </font>
    <font>
      <name val="Calibri"/>
      <sz val="11"/>
    </font>
  </fonts>
  <fills count="27">
    <fill>
      <patternFill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theme="7" tint="0.7998901333658864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E7E6E6"/>
        <bgColor rgb="FFDCF3EC"/>
      </patternFill>
    </fill>
    <fill>
      <patternFill patternType="solid">
        <fgColor rgb="FFFFF2CC"/>
        <bgColor rgb="FFE7E6E6"/>
      </patternFill>
    </fill>
    <fill>
      <patternFill patternType="solid">
        <fgColor rgb="FFFFC000"/>
        <bgColor rgb="FFFFD700"/>
      </patternFill>
    </fill>
    <fill>
      <patternFill patternType="solid">
        <fgColor rgb="FFC6EFCE"/>
        <bgColor rgb="FFDCF3EC"/>
      </patternFill>
    </fill>
    <fill>
      <patternFill patternType="solid">
        <fgColor rgb="FF4472C4"/>
        <bgColor rgb="FF2C7093"/>
      </patternFill>
    </fill>
    <fill>
      <patternFill patternType="solid">
        <fgColor rgb="FFD9D9D9"/>
        <bgColor rgb="FFE7E6E6"/>
      </patternFill>
    </fill>
    <fill>
      <patternFill patternType="solid">
        <fgColor rgb="FF70AD47"/>
        <bgColor rgb="FFAFBF41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F2F6FA"/>
        <bgColor rgb="FFF2F6FA"/>
      </patternFill>
    </fill>
    <fill>
      <patternFill patternType="solid">
        <fgColor rgb="FFE8EDF3"/>
        <bgColor rgb="FFE8EDF3"/>
      </patternFill>
    </fill>
    <fill>
      <patternFill patternType="solid">
        <fgColor rgb="FFFCE4EC"/>
        <bgColor rgb="FFFCE4EC"/>
      </patternFill>
    </fill>
    <fill>
      <patternFill patternType="solid">
        <fgColor rgb="FFC00000"/>
        <bgColor rgb="FFC00000"/>
      </patternFill>
    </fill>
    <fill>
      <patternFill patternType="solid">
        <fgColor rgb="FF8B0000"/>
        <bgColor rgb="FF8B0000"/>
      </patternFill>
    </fill>
    <fill>
      <patternFill patternType="solid">
        <fgColor rgb="FF1F4E79"/>
        <bgColor rgb="FF1F4E79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medium">
        <color rgb="FFBF8F00"/>
      </left>
      <right style="medium">
        <color rgb="FFBF8F00"/>
      </right>
      <top style="medium">
        <color rgb="FFBF8F00"/>
      </top>
      <bottom style="medium">
        <color rgb="FFBF8F00"/>
      </bottom>
    </border>
    <border>
      <left/>
      <right/>
      <top style="medium">
        <color rgb="FFBF8F00"/>
      </top>
      <bottom/>
      <diagonal/>
    </border>
    <border>
      <left/>
      <right style="medium">
        <color rgb="FFBF8F00"/>
      </right>
      <top style="medium">
        <color rgb="FFBF8F00"/>
      </top>
      <bottom/>
      <diagonal/>
    </border>
    <border>
      <left/>
      <right/>
      <top style="medium">
        <color rgb="FFBF8F00"/>
      </top>
      <bottom style="medium">
        <color rgb="FFBF8F00"/>
      </bottom>
      <diagonal/>
    </border>
    <border>
      <left/>
      <right style="medium">
        <color rgb="FFBF8F00"/>
      </right>
      <top style="medium">
        <color rgb="FFBF8F00"/>
      </top>
      <bottom style="medium">
        <color rgb="FFBF8F00"/>
      </bottom>
      <diagonal/>
    </border>
  </borders>
  <cellStyleXfs count="1">
    <xf numFmtId="0" fontId="0" fillId="0" borderId="0"/>
  </cellStyleXfs>
  <cellXfs count="179">
    <xf numFmtId="0" fontId="0" fillId="0" borderId="0" pivotButton="0" quotePrefix="0" xfId="0"/>
    <xf numFmtId="0" fontId="43" fillId="0" borderId="0" pivotButton="0" quotePrefix="0" xfId="0"/>
    <xf numFmtId="0" fontId="32" fillId="0" borderId="0" pivotButton="0" quotePrefix="0" xfId="0"/>
    <xf numFmtId="0" fontId="24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4" fillId="0" borderId="0" pivotButton="0" quotePrefix="0" xfId="0"/>
    <xf numFmtId="0" fontId="15" fillId="4" borderId="0" pivotButton="0" quotePrefix="0" xfId="0"/>
    <xf numFmtId="0" fontId="16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0" fillId="0" borderId="1" pivotButton="0" quotePrefix="0" xfId="0"/>
    <xf numFmtId="0" fontId="26" fillId="4" borderId="1" applyAlignment="1" pivotButton="0" quotePrefix="0" xfId="0">
      <alignment horizontal="center"/>
    </xf>
    <xf numFmtId="0" fontId="27" fillId="5" borderId="1" pivotButton="0" quotePrefix="0" xfId="0"/>
    <xf numFmtId="1" fontId="27" fillId="5" borderId="1" pivotButton="0" quotePrefix="0" xfId="0"/>
    <xf numFmtId="0" fontId="26" fillId="4" borderId="1" pivotButton="0" quotePrefix="0" xfId="0"/>
    <xf numFmtId="0" fontId="0" fillId="5" borderId="1" pivotButton="0" quotePrefix="0" xfId="0"/>
    <xf numFmtId="0" fontId="28" fillId="0" borderId="1" pivotButton="0" quotePrefix="0" xfId="0"/>
    <xf numFmtId="3" fontId="0" fillId="5" borderId="1" pivotButton="0" quotePrefix="0" xfId="0"/>
    <xf numFmtId="3" fontId="28" fillId="6" borderId="1" pivotButton="0" quotePrefix="0" xfId="0"/>
    <xf numFmtId="3" fontId="28" fillId="5" borderId="1" pivotButton="0" quotePrefix="0" xfId="0"/>
    <xf numFmtId="0" fontId="26" fillId="7" borderId="1" pivotButton="0" quotePrefix="0" xfId="0"/>
    <xf numFmtId="3" fontId="26" fillId="7" borderId="1" pivotButton="0" quotePrefix="0" xfId="0"/>
    <xf numFmtId="0" fontId="24" fillId="4" borderId="1" pivotButton="0" quotePrefix="0" xfId="0"/>
    <xf numFmtId="3" fontId="0" fillId="0" borderId="1" pivotButton="0" quotePrefix="0" xfId="0"/>
    <xf numFmtId="164" fontId="0" fillId="5" borderId="1" pivotButton="0" quotePrefix="0" xfId="0"/>
    <xf numFmtId="0" fontId="29" fillId="0" borderId="1" pivotButton="0" quotePrefix="0" xfId="0"/>
    <xf numFmtId="165" fontId="30" fillId="8" borderId="1" pivotButton="0" quotePrefix="0" xfId="0"/>
    <xf numFmtId="165" fontId="29" fillId="8" borderId="1" pivotButton="0" quotePrefix="0" xfId="0"/>
    <xf numFmtId="165" fontId="28" fillId="0" borderId="1" pivotButton="0" quotePrefix="0" xfId="0"/>
    <xf numFmtId="165" fontId="0" fillId="0" borderId="1" pivotButton="0" quotePrefix="0" xfId="0"/>
    <xf numFmtId="165" fontId="29" fillId="0" borderId="1" pivotButton="0" quotePrefix="0" xfId="0"/>
    <xf numFmtId="165" fontId="28" fillId="7" borderId="1" pivotButton="0" quotePrefix="0" xfId="0"/>
    <xf numFmtId="166" fontId="0" fillId="7" borderId="1" pivotButton="0" quotePrefix="0" xfId="0"/>
    <xf numFmtId="0" fontId="31" fillId="0" borderId="1" pivotButton="0" quotePrefix="0" xfId="0"/>
    <xf numFmtId="0" fontId="27" fillId="0" borderId="1" pivotButton="0" quotePrefix="0" xfId="0"/>
    <xf numFmtId="0" fontId="28" fillId="5" borderId="1" pivotButton="0" quotePrefix="0" xfId="0"/>
    <xf numFmtId="3" fontId="0" fillId="6" borderId="1" pivotButton="0" quotePrefix="0" xfId="0"/>
    <xf numFmtId="165" fontId="26" fillId="7" borderId="1" pivotButton="0" quotePrefix="0" xfId="0"/>
    <xf numFmtId="0" fontId="28" fillId="10" borderId="1" pivotButton="0" quotePrefix="0" xfId="0"/>
    <xf numFmtId="3" fontId="0" fillId="6" borderId="1" applyAlignment="1" pivotButton="0" quotePrefix="0" xfId="0">
      <alignment horizontal="left"/>
    </xf>
    <xf numFmtId="0" fontId="32" fillId="0" borderId="1" pivotButton="0" quotePrefix="0" xfId="0"/>
    <xf numFmtId="0" fontId="33" fillId="0" borderId="1" pivotButton="0" quotePrefix="0" xfId="0"/>
    <xf numFmtId="0" fontId="35" fillId="9" borderId="1" applyAlignment="1" pivotButton="0" quotePrefix="0" xfId="0">
      <alignment horizontal="center" vertical="center" wrapText="1"/>
    </xf>
    <xf numFmtId="0" fontId="35" fillId="11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36" fillId="6" borderId="1" pivotButton="0" quotePrefix="0" xfId="0"/>
    <xf numFmtId="9" fontId="36" fillId="6" borderId="1" pivotButton="0" quotePrefix="0" xfId="0"/>
    <xf numFmtId="3" fontId="36" fillId="6" borderId="1" pivotButton="0" quotePrefix="0" xfId="0"/>
    <xf numFmtId="3" fontId="37" fillId="6" borderId="1" pivotButton="0" quotePrefix="0" xfId="0"/>
    <xf numFmtId="0" fontId="17" fillId="7" borderId="1" pivotButton="0" quotePrefix="0" xfId="0"/>
    <xf numFmtId="9" fontId="17" fillId="7" borderId="1" pivotButton="0" quotePrefix="0" xfId="0"/>
    <xf numFmtId="3" fontId="17" fillId="7" borderId="1" pivotButton="0" quotePrefix="0" xfId="0"/>
    <xf numFmtId="3" fontId="17" fillId="0" borderId="1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2" fontId="38" fillId="6" borderId="0" pivotButton="0" quotePrefix="0" xfId="0"/>
    <xf numFmtId="9" fontId="38" fillId="6" borderId="0" pivotButton="0" quotePrefix="0" xfId="0"/>
    <xf numFmtId="0" fontId="38" fillId="6" borderId="0" pivotButton="0" quotePrefix="0" xfId="0"/>
    <xf numFmtId="0" fontId="41" fillId="4" borderId="0" pivotButton="0" quotePrefix="0" xfId="0"/>
    <xf numFmtId="3" fontId="38" fillId="6" borderId="0" pivotButton="0" quotePrefix="0" xfId="0"/>
    <xf numFmtId="0" fontId="42" fillId="0" borderId="0" pivotButton="0" quotePrefix="0" xfId="0"/>
    <xf numFmtId="0" fontId="44" fillId="4" borderId="0" applyAlignment="1" pivotButton="0" quotePrefix="0" xfId="0">
      <alignment horizontal="center" wrapText="1"/>
    </xf>
    <xf numFmtId="0" fontId="44" fillId="4" borderId="0" applyAlignment="1" pivotButton="0" quotePrefix="0" xfId="0">
      <alignment horizontal="center" vertical="center" wrapText="1"/>
    </xf>
    <xf numFmtId="3" fontId="42" fillId="0" borderId="0" pivotButton="0" quotePrefix="0" xfId="0"/>
    <xf numFmtId="3" fontId="45" fillId="8" borderId="0" pivotButton="0" quotePrefix="0" xfId="0"/>
    <xf numFmtId="3" fontId="40" fillId="7" borderId="0" pivotButton="0" quotePrefix="0" xfId="0"/>
    <xf numFmtId="0" fontId="46" fillId="0" borderId="0" pivotButton="0" quotePrefix="0" xfId="0"/>
    <xf numFmtId="0" fontId="47" fillId="0" borderId="0" pivotButton="0" quotePrefix="0" xfId="0"/>
    <xf numFmtId="0" fontId="44" fillId="4" borderId="0" pivotButton="0" quotePrefix="0" xfId="0"/>
    <xf numFmtId="3" fontId="42" fillId="6" borderId="0" pivotButton="0" quotePrefix="0" xfId="0"/>
    <xf numFmtId="0" fontId="42" fillId="6" borderId="0" pivotButton="0" quotePrefix="0" xfId="0"/>
    <xf numFmtId="9" fontId="42" fillId="6" borderId="0" pivotButton="0" quotePrefix="0" xfId="0"/>
    <xf numFmtId="0" fontId="48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41" fillId="9" borderId="0" applyAlignment="1" pivotButton="0" quotePrefix="0" xfId="0">
      <alignment horizontal="center" vertical="center" wrapText="1"/>
    </xf>
    <xf numFmtId="3" fontId="38" fillId="0" borderId="0" pivotButton="0" quotePrefix="0" xfId="0"/>
    <xf numFmtId="9" fontId="38" fillId="0" borderId="0" pivotButton="0" quotePrefix="0" xfId="0"/>
    <xf numFmtId="3" fontId="40" fillId="11" borderId="0" pivotButton="0" quotePrefix="0" xfId="0"/>
    <xf numFmtId="9" fontId="40" fillId="11" borderId="0" pivotButton="0" quotePrefix="0" xfId="0"/>
    <xf numFmtId="0" fontId="15" fillId="4" borderId="0" applyAlignment="1" pivotButton="0" quotePrefix="0" xfId="0">
      <alignment horizontal="center"/>
    </xf>
    <xf numFmtId="10" fontId="0" fillId="0" borderId="0" pivotButton="0" quotePrefix="0" xfId="0"/>
    <xf numFmtId="0" fontId="50" fillId="4" borderId="1" applyAlignment="1" pivotButton="0" quotePrefix="0" xfId="0">
      <alignment horizontal="center" vertical="center" wrapText="1"/>
    </xf>
    <xf numFmtId="3" fontId="51" fillId="6" borderId="1" pivotButton="0" quotePrefix="0" xfId="0"/>
    <xf numFmtId="3" fontId="52" fillId="7" borderId="1" pivotButton="0" quotePrefix="0" xfId="0"/>
    <xf numFmtId="3" fontId="34" fillId="12" borderId="1" pivotButton="0" quotePrefix="0" xfId="0"/>
    <xf numFmtId="3" fontId="0" fillId="12" borderId="1" pivotButton="0" quotePrefix="0" xfId="0"/>
    <xf numFmtId="3" fontId="53" fillId="13" borderId="1" pivotButton="0" quotePrefix="0" xfId="0"/>
    <xf numFmtId="0" fontId="54" fillId="14" borderId="1" pivotButton="0" quotePrefix="0" xfId="0"/>
    <xf numFmtId="0" fontId="55" fillId="2" borderId="0" applyAlignment="1" pivotButton="0" quotePrefix="0" xfId="0">
      <alignment horizontal="center"/>
    </xf>
    <xf numFmtId="0" fontId="56" fillId="2" borderId="0" pivotButton="0" quotePrefix="0" xfId="0"/>
    <xf numFmtId="0" fontId="57" fillId="3" borderId="0" pivotButton="0" quotePrefix="0" xfId="0"/>
    <xf numFmtId="0" fontId="58" fillId="3" borderId="0" pivotButton="0" quotePrefix="0" xfId="0"/>
    <xf numFmtId="0" fontId="62" fillId="16" borderId="4" applyAlignment="1" pivotButton="0" quotePrefix="0" xfId="0">
      <alignment horizontal="center" vertical="center" wrapText="1"/>
    </xf>
    <xf numFmtId="0" fontId="63" fillId="17" borderId="4" applyAlignment="1" pivotButton="0" quotePrefix="0" xfId="0">
      <alignment horizontal="center" vertical="center" wrapText="1"/>
    </xf>
    <xf numFmtId="0" fontId="64" fillId="17" borderId="4" applyAlignment="1" pivotButton="0" quotePrefix="0" xfId="0">
      <alignment horizontal="left" vertical="center" wrapText="1"/>
    </xf>
    <xf numFmtId="3" fontId="64" fillId="17" borderId="4" applyAlignment="1" pivotButton="0" quotePrefix="0" xfId="0">
      <alignment horizontal="right" vertical="center"/>
    </xf>
    <xf numFmtId="0" fontId="65" fillId="18" borderId="4" applyAlignment="1" pivotButton="0" quotePrefix="0" xfId="0">
      <alignment horizontal="center" vertical="center" wrapText="1"/>
    </xf>
    <xf numFmtId="0" fontId="0" fillId="17" borderId="4" applyAlignment="1" pivotButton="0" quotePrefix="0" xfId="0">
      <alignment horizontal="center" vertical="center" wrapText="1"/>
    </xf>
    <xf numFmtId="0" fontId="63" fillId="19" borderId="4" applyAlignment="1" pivotButton="0" quotePrefix="0" xfId="0">
      <alignment horizontal="center" vertical="center" wrapText="1"/>
    </xf>
    <xf numFmtId="0" fontId="64" fillId="19" borderId="4" applyAlignment="1" pivotButton="0" quotePrefix="0" xfId="0">
      <alignment horizontal="left" vertical="center" wrapText="1"/>
    </xf>
    <xf numFmtId="3" fontId="64" fillId="19" borderId="4" applyAlignment="1" pivotButton="0" quotePrefix="0" xfId="0">
      <alignment horizontal="right" vertical="center"/>
    </xf>
    <xf numFmtId="0" fontId="0" fillId="19" borderId="4" applyAlignment="1" pivotButton="0" quotePrefix="0" xfId="0">
      <alignment horizontal="center" vertical="center" wrapText="1"/>
    </xf>
    <xf numFmtId="0" fontId="66" fillId="20" borderId="4" pivotButton="0" quotePrefix="0" xfId="0"/>
    <xf numFmtId="0" fontId="66" fillId="20" borderId="4" applyAlignment="1" pivotButton="0" quotePrefix="0" xfId="0">
      <alignment horizontal="center" vertical="center" wrapText="1"/>
    </xf>
    <xf numFmtId="0" fontId="0" fillId="20" borderId="4" pivotButton="0" quotePrefix="0" xfId="0"/>
    <xf numFmtId="0" fontId="65" fillId="18" borderId="4" pivotButton="0" quotePrefix="0" xfId="0"/>
    <xf numFmtId="0" fontId="0" fillId="18" borderId="4" pivotButton="0" quotePrefix="0" xfId="0"/>
    <xf numFmtId="0" fontId="67" fillId="21" borderId="4" pivotButton="0" quotePrefix="0" xfId="0"/>
    <xf numFmtId="0" fontId="67" fillId="21" borderId="4" applyAlignment="1" pivotButton="0" quotePrefix="0" xfId="0">
      <alignment horizontal="center" vertical="center" wrapText="1"/>
    </xf>
    <xf numFmtId="0" fontId="0" fillId="21" borderId="4" pivotButton="0" quotePrefix="0" xfId="0"/>
    <xf numFmtId="0" fontId="13" fillId="0" borderId="0" pivotButton="0" quotePrefix="0" xfId="0"/>
    <xf numFmtId="0" fontId="0" fillId="0" borderId="0" pivotButton="0" quotePrefix="0" xfId="0"/>
    <xf numFmtId="0" fontId="12" fillId="0" borderId="0" pivotButton="0" quotePrefix="0" xfId="0"/>
    <xf numFmtId="0" fontId="25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4" fillId="0" borderId="1" pivotButton="0" quotePrefix="0" xfId="0"/>
    <xf numFmtId="0" fontId="26" fillId="9" borderId="1" pivotButton="0" quotePrefix="0" xfId="0"/>
    <xf numFmtId="0" fontId="38" fillId="0" borderId="0" pivotButton="0" quotePrefix="0" xfId="0"/>
    <xf numFmtId="0" fontId="43" fillId="0" borderId="0" pivotButton="0" quotePrefix="0" xfId="0"/>
    <xf numFmtId="0" fontId="42" fillId="0" borderId="0" pivotButton="0" quotePrefix="0" xfId="0"/>
    <xf numFmtId="0" fontId="32" fillId="0" borderId="0" pivotButton="0" quotePrefix="0" xfId="0"/>
    <xf numFmtId="0" fontId="40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49" fillId="0" borderId="0" applyAlignment="1" pivotButton="0" quotePrefix="0" xfId="0">
      <alignment vertical="center"/>
    </xf>
    <xf numFmtId="0" fontId="61" fillId="15" borderId="0" pivotButton="0" quotePrefix="0" xfId="0"/>
    <xf numFmtId="0" fontId="60" fillId="0" borderId="0" pivotButton="0" quotePrefix="0" xfId="0"/>
    <xf numFmtId="0" fontId="59" fillId="0" borderId="0" pivotButton="0" quotePrefix="0" xfId="0"/>
    <xf numFmtId="0" fontId="69" fillId="2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8" fillId="0" borderId="0" applyAlignment="1" pivotButton="0" quotePrefix="0" xfId="0">
      <alignment wrapText="1"/>
    </xf>
    <xf numFmtId="0" fontId="0" fillId="22" borderId="0" pivotButton="0" quotePrefix="0" xfId="0"/>
    <xf numFmtId="0" fontId="0" fillId="22" borderId="0" applyAlignment="1" pivotButton="0" quotePrefix="0" xfId="0">
      <alignment horizontal="left"/>
    </xf>
    <xf numFmtId="0" fontId="70" fillId="22" borderId="0" applyAlignment="1" pivotButton="0" quotePrefix="0" xfId="0">
      <alignment horizontal="center" vertical="center"/>
    </xf>
    <xf numFmtId="0" fontId="71" fillId="22" borderId="0" pivotButton="0" quotePrefix="0" xfId="0"/>
    <xf numFmtId="0" fontId="4" fillId="22" borderId="0" applyAlignment="1" pivotButton="0" quotePrefix="0" xfId="0">
      <alignment horizontal="center"/>
    </xf>
    <xf numFmtId="0" fontId="71" fillId="22" borderId="0" applyAlignment="1" pivotButton="0" quotePrefix="0" xfId="0">
      <alignment horizontal="center"/>
    </xf>
    <xf numFmtId="0" fontId="72" fillId="23" borderId="0" applyAlignment="1" pivotButton="0" quotePrefix="0" xfId="0">
      <alignment horizontal="center"/>
    </xf>
    <xf numFmtId="0" fontId="73" fillId="24" borderId="0" applyAlignment="1" pivotButton="0" quotePrefix="0" xfId="0">
      <alignment horizontal="center" vertical="center" wrapText="1"/>
    </xf>
    <xf numFmtId="0" fontId="74" fillId="25" borderId="0" pivotButton="0" quotePrefix="0" xfId="0"/>
    <xf numFmtId="0" fontId="76" fillId="22" borderId="0" pivotButton="0" quotePrefix="0" xfId="0"/>
    <xf numFmtId="0" fontId="77" fillId="22" borderId="0" pivotButton="0" quotePrefix="0" xfId="0"/>
    <xf numFmtId="0" fontId="77" fillId="22" borderId="0" applyAlignment="1" pivotButton="0" quotePrefix="0" xfId="0">
      <alignment horizontal="center"/>
    </xf>
    <xf numFmtId="0" fontId="75" fillId="26" borderId="0" pivotButton="0" quotePrefix="0" xfId="0"/>
    <xf numFmtId="0" fontId="75" fillId="26" borderId="1" pivotButton="0" quotePrefix="0" xfId="0"/>
    <xf numFmtId="0" fontId="78" fillId="25" borderId="11" applyAlignment="1" pivotButton="0" quotePrefix="0" xfId="0">
      <alignment vertical="center" wrapText="1"/>
    </xf>
    <xf numFmtId="0" fontId="0" fillId="0" borderId="14" pivotButton="0" quotePrefix="0" xfId="0"/>
    <xf numFmtId="0" fontId="0" fillId="0" borderId="15" pivotButton="0" quotePrefix="0" xfId="0"/>
    <xf numFmtId="0" fontId="79" fillId="26" borderId="11" applyAlignment="1" pivotButton="0" quotePrefix="0" xfId="0">
      <alignment vertical="center" wrapText="1"/>
    </xf>
    <xf numFmtId="0" fontId="8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1" fillId="24" borderId="0" applyAlignment="1" pivotButton="0" quotePrefix="0" xfId="0">
      <alignment vertical="top" wrapText="1"/>
    </xf>
    <xf numFmtId="0" fontId="82" fillId="0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0" fontId="84" fillId="0" borderId="0" applyAlignment="1" pivotButton="0" quotePrefix="0" xfId="0">
      <alignment vertical="top" wrapText="1"/>
    </xf>
    <xf numFmtId="0" fontId="79" fillId="26" borderId="0" applyAlignment="1" pivotButton="0" quotePrefix="0" xfId="0">
      <alignment vertical="top" wrapText="1"/>
    </xf>
  </cellXfs>
  <cellStyles count="1">
    <cellStyle name="Normale" xfId="0" builtinId="0"/>
  </cellStyles>
  <dxfs count="2">
    <dxf>
      <font>
        <name val="Arial"/>
        <b val="1"/>
        <color rgb="FFCC0000"/>
        <sz val="9"/>
      </font>
      <fill>
        <patternFill patternType="solid">
          <fgColor rgb="FFFCE4EC"/>
          <bgColor rgb="FFFCE4EC"/>
        </patternFill>
      </fill>
    </dxf>
    <dxf>
      <font>
        <name val="Arial"/>
        <b val="1"/>
        <color rgb="FF1A7A2E"/>
        <sz val="9"/>
      </font>
      <fill>
        <patternFill patternType="solid">
          <fgColor rgb="FFE2F0D9"/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70AD47"/>
      <rgbColor rgb="FF800080"/>
      <rgbColor rgb="FF0070C0"/>
      <rgbColor rgb="FFA6A6A6"/>
      <rgbColor rgb="FF848484"/>
      <rgbColor rgb="FF9999FF"/>
      <rgbColor rgb="FF993366"/>
      <rgbColor rgb="FFFFF2CC"/>
      <rgbColor rgb="FFDCF3EC"/>
      <rgbColor rgb="FF660066"/>
      <rgbColor rgb="FFED7D31"/>
      <rgbColor rgb="FF0563C1"/>
      <rgbColor rgb="FFD9D9D9"/>
      <rgbColor rgb="FF000080"/>
      <rgbColor rgb="FFFF00FF"/>
      <rgbColor rgb="FFFFFF00"/>
      <rgbColor rgb="FF00FFFF"/>
      <rgbColor rgb="FF800080"/>
      <rgbColor rgb="FFCC0000"/>
      <rgbColor rgb="FF2C7093"/>
      <rgbColor rgb="FF0000FF"/>
      <rgbColor rgb="FF00CCFF"/>
      <rgbColor rgb="FFE7E6E6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AFBF41"/>
      <rgbColor rgb="FFFFD700"/>
      <rgbColor rgb="FFFFC000"/>
      <rgbColor rgb="FFFC7715"/>
      <rgbColor rgb="FF666666"/>
      <rgbColor rgb="FF999999"/>
      <rgbColor rgb="FF003366"/>
      <rgbColor rgb="FF538135"/>
      <rgbColor rgb="FF003300"/>
      <rgbColor rgb="FF333300"/>
      <rgbColor rgb="FFF81B02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lang="it-IT" sz="1800" b="1" strike="noStrike" spc="-1">
                <a:solidFill>
                  <a:srgbClr val="000000"/>
                </a:solidFill>
                <a:latin typeface="Rockwell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Rockwell"/>
              </a:rPr>
              <a:t>Crescita Contratti NaviGoo24 B2B (2026-2030)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'NaviGoo24 B2B Detail'!$D$4</f>
              <strCache>
                <ptCount val="1"/>
                <pt idx="0">
                  <v>N° Basic</v>
                </pt>
              </strCache>
            </strRef>
          </tx>
          <spPr>
            <a:solidFill>
              <a:srgbClr val="F81B0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Rockwell"/>
                  </a:defRPr>
                </a:pPr>
                <a:r>
                  <a:t>None</a:t>
                </a:r>
                <a:endParaRPr lang="it-IT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'NaviGoo24 B2B Detail'!$A$5:$A$9</f>
              <numCache>
                <formatCode>General</formatCode>
                <ptCount val="5"/>
                <pt idx="0">
                  <v>2027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'NaviGoo24 B2B Detail'!$D$5:$D$9</f>
              <numCache>
                <formatCode>#,##0</formatCode>
                <ptCount val="5"/>
                <pt idx="0">
                  <v>80</v>
                </pt>
                <pt idx="1">
                  <v>150</v>
                </pt>
                <pt idx="2">
                  <v>300</v>
                </pt>
                <pt idx="3">
                  <v>450</v>
                </pt>
                <pt idx="4">
                  <v>800</v>
                </pt>
              </numCache>
            </numRef>
          </val>
        </ser>
        <ser>
          <idx val="1"/>
          <order val="1"/>
          <tx>
            <strRef>
              <f>'NaviGoo24 B2B Detail'!$E$4</f>
              <strCache>
                <ptCount val="1"/>
                <pt idx="0">
                  <v>N° Premium</v>
                </pt>
              </strCache>
            </strRef>
          </tx>
          <spPr>
            <a:solidFill>
              <a:srgbClr val="FC7715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Rockwell"/>
                  </a:defRPr>
                </a:pPr>
                <a:r>
                  <a:t>None</a:t>
                </a:r>
                <a:endParaRPr lang="it-IT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'NaviGoo24 B2B Detail'!$A$5:$A$9</f>
              <numCache>
                <formatCode>General</formatCode>
                <ptCount val="5"/>
                <pt idx="0">
                  <v>2027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'NaviGoo24 B2B Detail'!$E$5:$E$9</f>
              <numCache>
                <formatCode>#,##0</formatCode>
                <ptCount val="5"/>
                <pt idx="0">
                  <v>30</v>
                </pt>
                <pt idx="1">
                  <v>30</v>
                </pt>
                <pt idx="2">
                  <v>60</v>
                </pt>
                <pt idx="3">
                  <v>100</v>
                </pt>
                <pt idx="4">
                  <v>120</v>
                </pt>
              </numCache>
            </numRef>
          </val>
        </ser>
        <ser>
          <idx val="2"/>
          <order val="2"/>
          <tx>
            <strRef>
              <f>'NaviGoo24 B2B Detail'!$F$4</f>
              <strCache>
                <ptCount val="1"/>
                <pt idx="0">
                  <v>N° Enterprise</v>
                </pt>
              </strCache>
            </strRef>
          </tx>
          <spPr>
            <a:solidFill>
              <a:srgbClr val="AFBF41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Rockwell"/>
                  </a:defRPr>
                </a:pPr>
                <a:r>
                  <a:t>None</a:t>
                </a:r>
                <a:endParaRPr lang="it-IT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'NaviGoo24 B2B Detail'!$A$5:$A$9</f>
              <numCache>
                <formatCode>General</formatCode>
                <ptCount val="5"/>
                <pt idx="0">
                  <v>2027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'NaviGoo24 B2B Detail'!$F$5:$F$9</f>
              <numCache>
                <formatCode>#,##0</formatCode>
                <ptCount val="5"/>
                <pt idx="0">
                  <v>10</v>
                </pt>
                <pt idx="1">
                  <v>15</v>
                </pt>
                <pt idx="2">
                  <v>30</v>
                </pt>
                <pt idx="3">
                  <v>50</v>
                </pt>
                <pt idx="4">
                  <v>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4121511"/>
        <axId val="18851347"/>
      </barChart>
      <catAx>
        <axId val="24121511"/>
        <scaling>
          <orientation val="minMax"/>
        </scaling>
        <delete val="1"/>
        <axPos val="b"/>
        <title>
          <tx>
            <rich>
              <a:bodyPr rot="0"/>
              <a:lstStyle/>
              <a:p>
                <a:pPr>
                  <a:defRPr lang="it-IT" sz="1000" b="1" strike="noStrike" spc="-1">
                    <a:solidFill>
                      <a:srgbClr val="000000"/>
                    </a:solidFill>
                    <a:latin typeface="Rockwell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Rockwell"/>
                  </a:rPr>
                  <a:t>Anno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crossAx val="18851347"/>
        <crosses val="autoZero"/>
        <auto val="1"/>
        <lblAlgn val="ctr"/>
        <lblOffset val="100"/>
        <noMultiLvlLbl val="0"/>
      </catAx>
      <valAx>
        <axId val="18851347"/>
        <scaling>
          <orientation val="minMax"/>
        </scaling>
        <delete val="1"/>
        <axPos val="l"/>
        <majorGridlines>
          <spPr>
            <a:ln w="9360">
              <a:solidFill>
                <a:srgbClr val="848484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lang="it-IT" sz="1000" b="1" strike="noStrike" spc="-1">
                    <a:solidFill>
                      <a:srgbClr val="000000"/>
                    </a:solidFill>
                    <a:latin typeface="Rockwell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Rockwell"/>
                  </a:rPr>
                  <a:t>Numero Contratti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crossAx val="24121511"/>
        <crosses val="autoZero"/>
        <crossBetween val="between"/>
      </valAx>
    </plotArea>
    <legend>
      <legendPos val="r"/>
      <overlay val="1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Rockwell"/>
            </a:defRPr>
          </a:pPr>
          <a:r>
            <a:t>None</a:t>
          </a:r>
          <a:endParaRPr lang="it-IT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E136" authorId="0" shapeId="0">
      <text>
        <t>Microsoft Office User:
Infra spesa annuale di manutenzione, monitoraggio o canone tecnico infrastrutturale del sistema Blue IoT nel 2026.</t>
      </text>
    </comment>
    <comment ref="F136" authorId="0" shapeId="0">
      <text>
        <t>Microsoft Office User:
OPEX Vendita = Costi operativi legati all’attività commerciale e distributiva.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2</row>
      <rowOff>0</rowOff>
    </from>
    <to>
      <col>5</col>
      <colOff>570960</colOff>
      <row>20</row>
      <rowOff>170640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Atlante">
  <a:themeElements>
    <a:clrScheme name="Atlante">
      <a:dk1>
        <a:srgbClr val="000000"/>
      </a:dk1>
      <a:lt1>
        <a:srgbClr val="FFFFFF"/>
      </a:lt1>
      <a:dk2>
        <a:srgbClr val="454545"/>
      </a:dk2>
      <a:lt2>
        <a:srgbClr val="E0E0E0"/>
      </a:lt2>
      <a:accent1>
        <a:srgbClr val="F81B02"/>
      </a:accent1>
      <a:accent2>
        <a:srgbClr val="FC7715"/>
      </a:accent2>
      <a:accent3>
        <a:srgbClr val="AFBF41"/>
      </a:accent3>
      <a:accent4>
        <a:srgbClr val="50C49F"/>
      </a:accent4>
      <a:accent5>
        <a:srgbClr val="3B95C4"/>
      </a:accent5>
      <a:accent6>
        <a:srgbClr val="B560D4"/>
      </a:accent6>
      <a:hlink>
        <a:srgbClr val="FC5A1A"/>
      </a:hlink>
      <a:folHlink>
        <a:srgbClr val="B49E74"/>
      </a:folHlink>
    </a:clrScheme>
    <a:fontScheme name="Atlante">
      <a:majorFont>
        <a:latin typeface="Calibri Light" panose="020F0302020204030204"/>
        <a:ea typeface=""/>
        <a:cs typeface=""/>
      </a:majorFont>
      <a:minorFont>
        <a:latin typeface="Rockwell" panose="02060603020205020403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2000"/>
                <a:lumMod val="110000"/>
              </a:schemeClr>
            </a:gs>
            <a:gs pos="100000">
              <a:schemeClr val="phClr">
                <a:tint val="78000"/>
                <a:lumMod val="100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8000"/>
                <a:lumMod val="104000"/>
              </a:schemeClr>
            </a:gs>
            <a:gs pos="69000">
              <a:schemeClr val="phClr">
                <a:shade val="84000"/>
                <a:lumMod val="92000"/>
              </a:schemeClr>
            </a:gs>
            <a:gs pos="100000">
              <a:schemeClr val="phClr">
                <a:shade val="76000"/>
                <a:lumMod val="88000"/>
              </a:schemeClr>
            </a:gs>
          </a:gsLst>
          <a:lin ang="5400000" scaled="0"/>
          <a:tileRect/>
        </a:gradFill>
      </a:fillStyleLst>
      <a:lnStyleLst>
        <a:ln w="9525" cap="flat" cmpd="sng" algn="ctr">
          <a:prstDash val="solid"/>
        </a:ln>
        <a:ln w="15875" cap="flat" cmpd="sng" algn="ctr">
          <a:prstDash val="solid"/>
        </a:ln>
        <a:ln w="254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gradFill>
          <a:gsLst>
            <a:gs pos="10000">
              <a:schemeClr val="phClr">
                <a:tint val="94000"/>
                <a:lumMod val="116000"/>
              </a:schemeClr>
            </a:gs>
            <a:gs pos="100000">
              <a:schemeClr val="phClr">
                <a:tint val="98000"/>
                <a:shade val="86000"/>
                <a:lumMod val="88000"/>
              </a:schemeClr>
            </a:gs>
          </a:gsLst>
          <a:path path="circle">
            <a:fillToRect l="50000" t="15000" r="50000" b="169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S29"/>
  <sheetViews>
    <sheetView zoomScaleNormal="100" workbookViewId="0">
      <selection activeCell="B17" sqref="B17"/>
    </sheetView>
  </sheetViews>
  <sheetFormatPr baseColWidth="10" defaultColWidth="8.83203125" defaultRowHeight="15"/>
  <cols>
    <col width="8.83203125" customWidth="1" style="4" min="1" max="5"/>
    <col width="13.33203125" customWidth="1" style="4" min="6" max="6"/>
    <col hidden="1" width="13" customWidth="1" style="4" min="7" max="8"/>
    <col hidden="1" width="4.1640625" customWidth="1" style="4" min="9" max="9"/>
    <col hidden="1" width="0.1640625" customWidth="1" style="4" min="10" max="12"/>
    <col hidden="1" width="8.83203125" customWidth="1" style="4" min="13" max="13"/>
    <col width="115.6640625" customWidth="1" style="5" min="14" max="14"/>
    <col width="8.83203125" customWidth="1" style="4" min="15" max="15"/>
    <col width="8.83203125" customWidth="1" style="4" min="16" max="16384"/>
  </cols>
  <sheetData>
    <row r="1">
      <c r="A1" s="154" t="n"/>
      <c r="B1" s="154" t="n"/>
      <c r="C1" s="154" t="n"/>
      <c r="D1" s="154" t="n"/>
      <c r="E1" s="154" t="n"/>
      <c r="F1" s="154" t="n"/>
      <c r="G1" s="154" t="n"/>
      <c r="H1" s="154" t="n"/>
      <c r="I1" s="154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</row>
    <row r="2">
      <c r="A2" s="154" t="n"/>
      <c r="B2" s="154" t="n"/>
      <c r="C2" s="154" t="n"/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4" t="n"/>
      <c r="P2" s="154" t="n"/>
      <c r="Q2" s="154" t="n"/>
      <c r="R2" s="154" t="n"/>
      <c r="S2" s="154" t="n"/>
    </row>
    <row r="3">
      <c r="A3" s="154" t="n"/>
      <c r="B3" s="154" t="n"/>
      <c r="C3" s="154" t="n"/>
      <c r="D3" s="154" t="n"/>
      <c r="E3" s="154" t="n"/>
      <c r="F3" s="154" t="n"/>
      <c r="G3" s="154" t="n"/>
      <c r="H3" s="154" t="n"/>
      <c r="I3" s="154" t="n"/>
      <c r="J3" s="154" t="n"/>
      <c r="K3" s="154" t="n"/>
      <c r="L3" s="154" t="n"/>
      <c r="M3" s="154" t="n"/>
      <c r="N3" s="154" t="n"/>
      <c r="O3" s="154" t="n"/>
      <c r="P3" s="154" t="n"/>
      <c r="Q3" s="154" t="n"/>
      <c r="R3" s="154" t="n"/>
      <c r="S3" s="154" t="n"/>
    </row>
    <row r="4">
      <c r="A4" s="154" t="n"/>
      <c r="B4" s="154" t="n"/>
      <c r="C4" s="154" t="n"/>
      <c r="D4" s="154" t="n"/>
      <c r="E4" s="154" t="n"/>
      <c r="F4" s="154" t="n"/>
      <c r="G4" s="154" t="n"/>
      <c r="H4" s="154" t="n"/>
      <c r="I4" s="154" t="n"/>
      <c r="J4" s="154" t="n"/>
      <c r="K4" s="154" t="n"/>
      <c r="L4" s="154" t="n"/>
      <c r="M4" s="154" t="n"/>
      <c r="N4" s="154" t="n"/>
      <c r="O4" s="154" t="n"/>
      <c r="P4" s="154" t="n"/>
      <c r="Q4" s="154" t="n"/>
      <c r="R4" s="154" t="n"/>
      <c r="S4" s="154" t="n"/>
    </row>
    <row r="5">
      <c r="A5" s="154" t="n"/>
      <c r="B5" s="154" t="n"/>
      <c r="C5" s="154" t="n"/>
      <c r="D5" s="154" t="n"/>
      <c r="E5" s="154" t="n"/>
      <c r="F5" s="154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</row>
    <row r="6" ht="39.75" customHeight="1" s="133">
      <c r="A6" s="155" t="n"/>
      <c r="B6" s="154" t="n"/>
      <c r="C6" s="154" t="n"/>
      <c r="D6" s="154" t="n"/>
      <c r="E6" s="154" t="n"/>
      <c r="F6" s="154" t="n"/>
      <c r="G6" s="154" t="n"/>
      <c r="H6" s="154" t="n"/>
      <c r="I6" s="154" t="n"/>
      <c r="J6" s="154" t="n"/>
      <c r="K6" s="154" t="n"/>
      <c r="L6" s="154" t="n"/>
      <c r="M6" s="154" t="n"/>
      <c r="N6" s="156" t="inlineStr">
        <is>
          <t xml:space="preserve">     Seainnova Boe per L'ormeggio – Business Plan 2027–2032</t>
        </is>
      </c>
      <c r="O6" s="154" t="n"/>
      <c r="P6" s="154" t="n"/>
      <c r="Q6" s="154" t="n"/>
      <c r="R6" s="154" t="n"/>
      <c r="S6" s="154" t="n"/>
    </row>
    <row r="7">
      <c r="A7" s="154" t="n"/>
      <c r="B7" s="154" t="n"/>
      <c r="C7" s="154" t="n"/>
      <c r="D7" s="154" t="n"/>
      <c r="E7" s="154" t="n"/>
      <c r="F7" s="154" t="n"/>
      <c r="G7" s="154" t="n"/>
      <c r="H7" s="154" t="n"/>
      <c r="I7" s="154" t="n"/>
      <c r="J7" s="154" t="n"/>
      <c r="K7" s="154" t="n"/>
      <c r="L7" s="154" t="n"/>
      <c r="M7" s="154" t="n"/>
      <c r="N7" s="154" t="n"/>
      <c r="O7" s="154" t="n"/>
      <c r="P7" s="154" t="n"/>
      <c r="Q7" s="154" t="n"/>
      <c r="R7" s="154" t="n"/>
      <c r="S7" s="154" t="n"/>
    </row>
    <row r="8">
      <c r="A8" s="154" t="n"/>
      <c r="B8" s="154" t="n"/>
      <c r="C8" s="154" t="n"/>
      <c r="D8" s="154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4" t="n"/>
      <c r="N8" s="154" t="n"/>
      <c r="O8" s="154" t="n"/>
      <c r="P8" s="154" t="n"/>
      <c r="Q8" s="154" t="n"/>
      <c r="R8" s="154" t="n"/>
      <c r="S8" s="154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</row>
    <row r="10" ht="34.5" customHeight="1" s="133">
      <c r="A10" s="154" t="n"/>
      <c r="B10" s="154" t="n"/>
      <c r="C10" s="154" t="n"/>
      <c r="D10" s="154" t="n"/>
      <c r="E10" s="154" t="n"/>
      <c r="F10" s="154" t="n"/>
      <c r="G10" s="154" t="n"/>
      <c r="H10" s="154" t="n"/>
      <c r="I10" s="154" t="n"/>
      <c r="J10" s="154" t="n"/>
      <c r="K10" s="154" t="n"/>
      <c r="L10" s="154" t="n"/>
      <c r="M10" s="154" t="n"/>
      <c r="N10" s="157" t="inlineStr">
        <is>
          <t xml:space="preserve">                Versione ricalcolata e verificata – Gennaio 2027</t>
        </is>
      </c>
      <c r="O10" s="154" t="n"/>
      <c r="P10" s="154" t="n"/>
      <c r="Q10" s="154" t="n"/>
      <c r="R10" s="154" t="n"/>
      <c r="S10" s="154" t="n"/>
    </row>
    <row r="11">
      <c r="A11" s="154" t="n"/>
      <c r="B11" s="154" t="n"/>
      <c r="C11" s="154" t="n"/>
      <c r="D11" s="154" t="n"/>
      <c r="E11" s="154" t="n"/>
      <c r="F11" s="154" t="n"/>
      <c r="G11" s="154" t="n"/>
      <c r="H11" s="154" t="n"/>
      <c r="I11" s="154" t="n"/>
      <c r="J11" s="154" t="n"/>
      <c r="K11" s="154" t="n"/>
      <c r="L11" s="154" t="n"/>
      <c r="M11" s="154" t="n"/>
      <c r="N11" s="154" t="n"/>
      <c r="O11" s="154" t="n"/>
      <c r="P11" s="154" t="n"/>
      <c r="Q11" s="154" t="n"/>
      <c r="R11" s="154" t="n"/>
      <c r="S11" s="154" t="n"/>
    </row>
    <row r="12" ht="34.5" customHeight="1" s="133">
      <c r="A12" s="154" t="n"/>
      <c r="B12" s="154" t="n"/>
      <c r="C12" s="154" t="n"/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M12" s="154" t="n"/>
      <c r="N12" s="158" t="n"/>
      <c r="O12" s="154" t="n"/>
      <c r="P12" s="154" t="n"/>
      <c r="Q12" s="154" t="n"/>
      <c r="R12" s="154" t="n"/>
      <c r="S12" s="154" t="n"/>
    </row>
    <row r="13" ht="34.5" customFormat="1" customHeight="1" s="111">
      <c r="A13" s="154" t="n"/>
      <c r="B13" s="154" t="n"/>
      <c r="C13" s="154" t="n"/>
      <c r="D13" s="154" t="n"/>
      <c r="E13" s="154" t="n"/>
      <c r="F13" s="154" t="n"/>
      <c r="G13" s="154" t="n"/>
      <c r="H13" s="154" t="n"/>
      <c r="I13" s="154" t="n"/>
      <c r="J13" s="154" t="n"/>
      <c r="K13" s="154" t="n"/>
      <c r="L13" s="154" t="n"/>
      <c r="M13" s="154" t="n"/>
      <c r="N13" s="159" t="inlineStr">
        <is>
          <t xml:space="preserve">  Soluzioni Blue IoT per ormeggi e infrastrutture portuali intelligenti</t>
        </is>
      </c>
      <c r="O13" s="154" t="n"/>
      <c r="P13" s="154" t="n"/>
      <c r="Q13" s="154" t="n"/>
      <c r="R13" s="154" t="n"/>
      <c r="S13" s="154" t="n"/>
    </row>
    <row r="14">
      <c r="A14" s="154" t="n"/>
      <c r="B14" s="154" t="n"/>
      <c r="C14" s="154" t="n"/>
      <c r="D14" s="154" t="n"/>
      <c r="E14" s="154" t="n"/>
      <c r="F14" s="154" t="n"/>
      <c r="G14" s="154" t="n"/>
      <c r="H14" s="154" t="n"/>
      <c r="I14" s="154" t="n"/>
      <c r="J14" s="154" t="n"/>
      <c r="K14" s="154" t="n"/>
      <c r="L14" s="154" t="n"/>
      <c r="M14" s="154" t="n"/>
      <c r="N14" s="154" t="n"/>
      <c r="O14" s="154" t="n"/>
      <c r="P14" s="154" t="n"/>
      <c r="Q14" s="154" t="n"/>
      <c r="R14" s="154" t="n"/>
      <c r="S14" s="154" t="n"/>
    </row>
    <row r="15">
      <c r="A15" s="154" t="n"/>
      <c r="B15" s="154" t="n"/>
      <c r="C15" s="154" t="n"/>
      <c r="D15" s="154" t="n"/>
      <c r="E15" s="154" t="n"/>
      <c r="F15" s="154" t="n"/>
      <c r="G15" s="154" t="n"/>
      <c r="H15" s="154" t="n"/>
      <c r="I15" s="154" t="n"/>
      <c r="J15" s="154" t="n"/>
      <c r="K15" s="154" t="n"/>
      <c r="L15" s="154" t="n"/>
      <c r="M15" s="154" t="n"/>
      <c r="N15" s="154" t="n"/>
      <c r="O15" s="154" t="n"/>
      <c r="P15" s="154" t="n"/>
      <c r="Q15" s="154" t="n"/>
      <c r="R15" s="154" t="n"/>
      <c r="S15" s="154" t="n"/>
    </row>
    <row r="16">
      <c r="A16" s="154" t="n"/>
      <c r="B16" s="154" t="n"/>
      <c r="C16" s="154" t="n"/>
      <c r="D16" s="154" t="n"/>
      <c r="E16" s="154" t="n"/>
      <c r="F16" s="154" t="n"/>
      <c r="G16" s="154" t="n"/>
      <c r="H16" s="154" t="n"/>
      <c r="I16" s="154" t="n"/>
      <c r="J16" s="154" t="n"/>
      <c r="K16" s="154" t="n"/>
      <c r="L16" s="154" t="n"/>
      <c r="M16" s="154" t="n"/>
      <c r="N16" s="154" t="n"/>
      <c r="O16" s="154" t="n"/>
      <c r="P16" s="154" t="n"/>
      <c r="Q16" s="154" t="n"/>
      <c r="R16" s="154" t="n"/>
      <c r="S16" s="154" t="n"/>
    </row>
    <row r="17">
      <c r="A17" s="154" t="n"/>
      <c r="B17" s="154" t="n"/>
      <c r="C17" s="154" t="n"/>
      <c r="D17" s="154" t="n"/>
      <c r="E17" s="154" t="n"/>
      <c r="F17" s="154" t="n"/>
      <c r="G17" s="154" t="n"/>
      <c r="H17" s="154" t="n"/>
      <c r="I17" s="154" t="n"/>
      <c r="J17" s="154" t="n"/>
      <c r="K17" s="154" t="n"/>
      <c r="L17" s="154" t="n"/>
      <c r="M17" s="154" t="n"/>
      <c r="N17" s="154" t="n"/>
      <c r="O17" s="154" t="n"/>
      <c r="P17" s="154" t="n"/>
      <c r="Q17" s="154" t="n"/>
      <c r="R17" s="154" t="n"/>
      <c r="S17" s="154" t="n"/>
    </row>
    <row r="18">
      <c r="A18" s="154" t="n"/>
      <c r="B18" s="154" t="n"/>
      <c r="C18" s="154" t="n"/>
      <c r="D18" s="154" t="n"/>
      <c r="E18" s="154" t="n"/>
      <c r="F18" s="154" t="n"/>
      <c r="G18" s="154" t="n"/>
      <c r="H18" s="154" t="n"/>
      <c r="I18" s="154" t="n"/>
      <c r="J18" s="154" t="n"/>
      <c r="K18" s="154" t="n"/>
      <c r="L18" s="154" t="n"/>
      <c r="M18" s="154" t="n"/>
      <c r="N18" s="154" t="n"/>
      <c r="O18" s="154" t="n"/>
      <c r="P18" s="154" t="n"/>
      <c r="Q18" s="154" t="n"/>
      <c r="R18" s="154" t="n"/>
      <c r="S18" s="154" t="n"/>
    </row>
    <row r="19">
      <c r="A19" s="154" t="n"/>
      <c r="B19" s="154" t="n"/>
      <c r="C19" s="154" t="n"/>
      <c r="D19" s="154" t="n"/>
      <c r="E19" s="154" t="n"/>
      <c r="F19" s="154" t="n"/>
      <c r="G19" s="154" t="n"/>
      <c r="H19" s="154" t="n"/>
      <c r="I19" s="154" t="n"/>
      <c r="J19" s="154" t="n"/>
      <c r="K19" s="154" t="n"/>
      <c r="L19" s="154" t="n"/>
      <c r="M19" s="154" t="n"/>
      <c r="N19" s="154" t="n"/>
      <c r="O19" s="154" t="n"/>
      <c r="P19" s="154" t="n"/>
      <c r="Q19" s="154" t="n"/>
      <c r="R19" s="154" t="n"/>
      <c r="S19" s="154" t="n"/>
    </row>
    <row r="20" ht="34.5" customFormat="1" customHeight="1" s="111">
      <c r="A20" s="154" t="n"/>
      <c r="B20" s="154" t="n"/>
      <c r="C20" s="154" t="n"/>
      <c r="D20" s="154" t="n"/>
      <c r="E20" s="154" t="n"/>
      <c r="F20" s="154" t="n"/>
      <c r="G20" s="154" t="n"/>
      <c r="H20" s="154" t="n"/>
      <c r="I20" s="154" t="n"/>
      <c r="J20" s="154" t="n"/>
      <c r="K20" s="154" t="n"/>
      <c r="L20" s="154" t="n"/>
      <c r="M20" s="154" t="n"/>
      <c r="N20" s="160" t="inlineStr">
        <is>
          <t>🔴 VERSIONE 3.0 - Tier 2 - Pronta per investitori</t>
        </is>
      </c>
      <c r="O20" s="154" t="n"/>
      <c r="P20" s="154" t="n"/>
      <c r="Q20" s="154" t="n"/>
      <c r="R20" s="154" t="n"/>
      <c r="S20" s="154" t="n"/>
    </row>
    <row r="21">
      <c r="A21" s="154" t="n"/>
      <c r="B21" s="154" t="n"/>
      <c r="C21" s="154" t="n"/>
      <c r="D21" s="154" t="n"/>
      <c r="E21" s="154" t="n"/>
      <c r="F21" s="154" t="n"/>
      <c r="G21" s="154" t="n"/>
      <c r="H21" s="154" t="n"/>
      <c r="I21" s="154" t="n"/>
      <c r="J21" s="154" t="n"/>
      <c r="K21" s="154" t="n"/>
      <c r="L21" s="154" t="n"/>
      <c r="M21" s="154" t="n"/>
      <c r="N21" s="154" t="n"/>
      <c r="O21" s="154" t="n"/>
      <c r="P21" s="154" t="n"/>
      <c r="Q21" s="154" t="n"/>
      <c r="R21" s="154" t="n"/>
      <c r="S21" s="154" t="n"/>
    </row>
    <row r="22">
      <c r="A22" s="154" t="n"/>
      <c r="B22" s="154" t="n"/>
      <c r="C22" s="154" t="n"/>
      <c r="D22" s="154" t="n"/>
      <c r="E22" s="154" t="n"/>
      <c r="F22" s="154" t="n"/>
      <c r="G22" s="154" t="n"/>
      <c r="H22" s="154" t="n"/>
      <c r="I22" s="154" t="n"/>
      <c r="J22" s="154" t="n"/>
      <c r="K22" s="154" t="n"/>
      <c r="L22" s="154" t="n"/>
      <c r="M22" s="154" t="n"/>
      <c r="N22" s="163" t="inlineStr">
        <is>
          <t>🔴 v3.0 — Correzioni di solidità finanziaria</t>
        </is>
      </c>
      <c r="O22" s="154" t="n"/>
      <c r="P22" s="154" t="n"/>
      <c r="Q22" s="154" t="n"/>
      <c r="R22" s="154" t="n"/>
      <c r="S22" s="154" t="n"/>
    </row>
    <row r="23">
      <c r="A23" s="154" t="n"/>
      <c r="B23" s="154" t="n"/>
      <c r="C23" s="154" t="n"/>
      <c r="D23" s="154" t="n"/>
      <c r="E23" s="154" t="n"/>
      <c r="F23" s="154" t="n"/>
      <c r="G23" s="154" t="n"/>
      <c r="H23" s="154" t="n"/>
      <c r="I23" s="154" t="n"/>
      <c r="J23" s="154" t="n"/>
      <c r="K23" s="154" t="n"/>
      <c r="L23" s="154" t="n"/>
      <c r="M23" s="154" t="n"/>
      <c r="N23" s="164" t="inlineStr">
        <is>
          <t>• Sconto fornitore 30% RIMOSSO → CAPEX boe 6,01M€ → 8,58M€</t>
        </is>
      </c>
      <c r="O23" s="154" t="n"/>
      <c r="P23" s="154" t="n"/>
      <c r="Q23" s="154" t="n"/>
      <c r="R23" s="154" t="n"/>
      <c r="S23" s="154" t="n"/>
    </row>
    <row r="24">
      <c r="A24" s="154" t="n"/>
      <c r="B24" s="154" t="n"/>
      <c r="C24" s="154" t="n"/>
      <c r="D24" s="154" t="n"/>
      <c r="E24" s="154" t="n"/>
      <c r="F24" s="154" t="n"/>
      <c r="G24" s="154" t="n"/>
      <c r="H24" s="154" t="n"/>
      <c r="I24" s="154" t="n"/>
      <c r="J24" s="154" t="n"/>
      <c r="K24" s="154" t="n"/>
      <c r="L24" s="154" t="n"/>
      <c r="M24" s="154" t="n"/>
      <c r="N24" s="164" t="inlineStr">
        <is>
          <t>• PNRR ammissibile riallineato → contributo 560k → 200k</t>
        </is>
      </c>
      <c r="O24" s="154" t="n"/>
      <c r="P24" s="154" t="n"/>
      <c r="Q24" s="154" t="n"/>
      <c r="R24" s="154" t="n"/>
      <c r="S24" s="154" t="n"/>
    </row>
    <row r="25" ht="34.5" customHeight="1" s="133">
      <c r="A25" s="154" t="n"/>
      <c r="B25" s="154" t="n"/>
      <c r="C25" s="154" t="n"/>
      <c r="D25" s="154" t="n"/>
      <c r="E25" s="154" t="n"/>
      <c r="F25" s="154" t="n"/>
      <c r="G25" s="154" t="n"/>
      <c r="H25" s="154" t="n"/>
      <c r="I25" s="154" t="n"/>
      <c r="J25" s="154" t="n"/>
      <c r="K25" s="154" t="n"/>
      <c r="L25" s="154" t="n"/>
      <c r="M25" s="154" t="n"/>
      <c r="N25" s="165" t="inlineStr">
        <is>
          <t>• ZES esplicitato (cap 256k, max teorico 70% CAPEX boe)</t>
        </is>
      </c>
      <c r="O25" s="154" t="n"/>
      <c r="P25" s="154" t="n"/>
      <c r="Q25" s="154" t="n"/>
      <c r="R25" s="154" t="n"/>
      <c r="S25" s="154" t="n"/>
    </row>
    <row r="26">
      <c r="A26" s="154" t="n"/>
      <c r="B26" s="154" t="n"/>
      <c r="C26" s="154" t="n"/>
      <c r="D26" s="154" t="n"/>
      <c r="E26" s="154" t="n"/>
      <c r="F26" s="154" t="n"/>
      <c r="G26" s="154" t="n"/>
      <c r="H26" s="154" t="n"/>
      <c r="I26" s="154" t="n"/>
      <c r="J26" s="154" t="n"/>
      <c r="K26" s="154" t="n"/>
      <c r="L26" s="154" t="n"/>
      <c r="M26" s="154" t="n"/>
      <c r="N26" s="164" t="inlineStr">
        <is>
          <t>• Distinzione cassa vs credito imposta in compensazione</t>
        </is>
      </c>
      <c r="O26" s="154" t="n"/>
      <c r="P26" s="154" t="n"/>
      <c r="Q26" s="154" t="n"/>
      <c r="R26" s="154" t="n"/>
      <c r="S26" s="154" t="n"/>
    </row>
    <row r="27">
      <c r="A27" s="154" t="n"/>
      <c r="B27" s="154" t="n"/>
      <c r="C27" s="154" t="n"/>
      <c r="D27" s="154" t="n"/>
      <c r="E27" s="154" t="n"/>
      <c r="F27" s="154" t="n"/>
      <c r="G27" s="154" t="n"/>
      <c r="H27" s="154" t="n"/>
      <c r="I27" s="154" t="n"/>
      <c r="J27" s="154" t="n"/>
      <c r="K27" s="154" t="n"/>
      <c r="L27" s="154" t="n"/>
      <c r="M27" s="154" t="n"/>
      <c r="N27" s="154" t="n"/>
      <c r="O27" s="154" t="n"/>
      <c r="P27" s="154" t="n"/>
      <c r="Q27" s="154" t="n"/>
      <c r="R27" s="154" t="n"/>
      <c r="S27" s="154" t="n"/>
    </row>
    <row r="28">
      <c r="A28" s="154" t="n"/>
      <c r="B28" s="154" t="n"/>
      <c r="C28" s="154" t="n"/>
      <c r="D28" s="154" t="n"/>
      <c r="E28" s="154" t="n"/>
      <c r="F28" s="154" t="n"/>
      <c r="G28" s="154" t="n"/>
      <c r="H28" s="154" t="n"/>
      <c r="I28" s="154" t="n"/>
      <c r="J28" s="154" t="n"/>
      <c r="K28" s="154" t="n"/>
      <c r="L28" s="154" t="n"/>
      <c r="M28" s="154" t="n"/>
      <c r="N28" s="154" t="n"/>
      <c r="O28" s="154" t="n"/>
      <c r="P28" s="154" t="n"/>
      <c r="Q28" s="154" t="n"/>
      <c r="R28" s="154" t="n"/>
      <c r="S28" s="154" t="n"/>
    </row>
    <row r="29">
      <c r="A29" s="154" t="n"/>
      <c r="B29" s="154" t="n"/>
      <c r="C29" s="154" t="n"/>
      <c r="D29" s="154" t="n"/>
      <c r="E29" s="154" t="n"/>
      <c r="F29" s="154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FFD700"/>
    <outlinePr summaryBelow="1" summaryRight="1"/>
    <pageSetUpPr/>
  </sheetPr>
  <dimension ref="A2:C23"/>
  <sheetViews>
    <sheetView topLeftCell="A20" zoomScaleNormal="100" workbookViewId="0">
      <selection activeCell="J11" sqref="J11"/>
    </sheetView>
  </sheetViews>
  <sheetFormatPr baseColWidth="10" defaultColWidth="8.83203125" defaultRowHeight="26"/>
  <cols>
    <col width="8.83203125" customWidth="1" style="11" min="1" max="4"/>
    <col width="18.83203125" customWidth="1" style="11" min="5" max="5"/>
    <col width="8.83203125" customWidth="1" style="11" min="6" max="6"/>
    <col width="8.83203125" customWidth="1" style="11" min="7" max="16384"/>
  </cols>
  <sheetData>
    <row r="2" ht="24" customHeight="1" s="133">
      <c r="A2" s="11" t="inlineStr">
        <is>
          <t xml:space="preserve">          Business Plan Seainnova</t>
        </is>
      </c>
      <c r="B2" s="12" t="n"/>
    </row>
    <row r="4" ht="18.75" customHeight="1" s="133">
      <c r="B4" s="13" t="inlineStr">
        <is>
          <t>INDICE DI NAVIGAZIONE</t>
        </is>
      </c>
    </row>
    <row r="6">
      <c r="B6" s="14" t="inlineStr">
        <is>
          <t>INPUT &amp; ASSUNZIONI</t>
        </is>
      </c>
    </row>
    <row r="7">
      <c r="C7" s="15" t="inlineStr">
        <is>
          <t>Leggenda</t>
        </is>
      </c>
    </row>
    <row r="8">
      <c r="C8" s="15" t="inlineStr">
        <is>
          <t>Assunzioni</t>
        </is>
      </c>
    </row>
    <row r="9">
      <c r="C9" s="15" t="inlineStr">
        <is>
          <t>Glossario</t>
        </is>
      </c>
    </row>
    <row r="11">
      <c r="B11" s="14" t="inlineStr">
        <is>
          <t>ANALISI OPERATIVA</t>
        </is>
      </c>
    </row>
    <row r="12" customFormat="1" s="112">
      <c r="A12" s="112" t="inlineStr">
        <is>
          <t xml:space="preserve">          Bp 2027 2032</t>
        </is>
      </c>
      <c r="C12" s="113" t="n"/>
    </row>
    <row r="13" customFormat="1" s="112">
      <c r="A13" s="112" t="inlineStr">
        <is>
          <t xml:space="preserve">          NaviGoo24 </t>
        </is>
      </c>
      <c r="C13" s="113" t="n"/>
    </row>
    <row r="15">
      <c r="B15" s="14" t="inlineStr">
        <is>
          <t>REPORTISTICA FINANZIARIA</t>
        </is>
      </c>
    </row>
    <row r="16">
      <c r="C16" s="15" t="inlineStr">
        <is>
          <t>Conto_Economico</t>
        </is>
      </c>
    </row>
    <row r="17">
      <c r="C17" s="15" t="inlineStr">
        <is>
          <t>Piano_Finanziario</t>
        </is>
      </c>
    </row>
    <row r="19">
      <c r="B19" s="14" t="inlineStr">
        <is>
          <t>VISUALIZZAZIONE &amp; DASHBOARD</t>
        </is>
      </c>
    </row>
    <row r="20">
      <c r="C20" s="15" t="inlineStr">
        <is>
          <t>DASHBOARD</t>
        </is>
      </c>
    </row>
    <row r="21" customFormat="1" s="112">
      <c r="A21" s="112" t="inlineStr">
        <is>
          <t xml:space="preserve">         Grafici NaviGoo24</t>
        </is>
      </c>
      <c r="C21" s="113" t="n"/>
    </row>
    <row r="23">
      <c r="B23" s="16" t="inlineStr">
        <is>
          <t>ANALISI DI RESILIENZA</t>
        </is>
      </c>
      <c r="C23" s="15" t="inlineStr">
        <is>
          <t>ANALISI BEP</t>
        </is>
      </c>
    </row>
  </sheetData>
  <hyperlinks>
    <hyperlink ref="C7" location="'Leggenda'!A1" display="Leggenda"/>
    <hyperlink ref="C8" location="'Assunzioni'!A1" display="Assunzioni"/>
    <hyperlink ref="C9" location="'Glossario'!A1" display="Glossario"/>
    <hyperlink ref="C16" location="'Conto_Economico'!A1" display="Conto_Economico"/>
    <hyperlink ref="C17" location="'Piano_Finanziario'!A1" display="Piano_Finanziario"/>
    <hyperlink ref="C20" location="'DASHBOARD'!A1" display="DASHBOARD"/>
    <hyperlink ref="C23" location="'ANALISI BEP'!A1" display="ANALISI BEP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B1:B248"/>
  <sheetViews>
    <sheetView workbookViewId="0">
      <selection activeCell="A1" sqref="A1"/>
    </sheetView>
  </sheetViews>
  <sheetFormatPr baseColWidth="8" defaultRowHeight="15"/>
  <cols>
    <col width="4" customWidth="1" style="133" min="1" max="1"/>
    <col width="110" customWidth="1" style="133" min="2" max="2"/>
  </cols>
  <sheetData>
    <row r="1" ht="30" customHeight="1" s="133">
      <c r="B1" s="172" t="inlineStr">
        <is>
          <t>Relazione di accompagnamento al Business Plan</t>
        </is>
      </c>
    </row>
    <row r="2">
      <c r="B2" s="173" t="n"/>
    </row>
    <row r="3" ht="24" customHeight="1" s="133">
      <c r="B3" s="174" t="inlineStr">
        <is>
          <t>Seainnova S.r.l. — Boe per l'Ormeggio Intelligenti</t>
        </is>
      </c>
    </row>
    <row r="4" ht="20" customHeight="1" s="133">
      <c r="B4" s="175" t="inlineStr">
        <is>
          <t>Piano Economico-Finanziario 2027–2032 · Versione 3.0</t>
        </is>
      </c>
    </row>
    <row r="5">
      <c r="B5" s="173" t="n"/>
    </row>
    <row r="6">
      <c r="B6" s="17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7">
      <c r="B7" s="173" t="n"/>
    </row>
    <row r="8" ht="24" customHeight="1" s="133">
      <c r="B8" s="174" t="inlineStr">
        <is>
          <t>1. Sintesi esecutiva</t>
        </is>
      </c>
    </row>
    <row r="9">
      <c r="B9" s="173" t="n"/>
    </row>
    <row r="10">
      <c r="B10" s="177" t="inlineStr">
        <is>
          <t>Seainnova S.r.l., start-up innovativa con sede a La Maddalena (Sardegna), presenta il piano economico-finanziario per il periodo 2027–2032 relativo allo sviluppo, produzione e commercializzazione di un sistema integrato di **boe da ormeggio intelligenti** (linea Betty Buoys) abbinato a una piattaforma software B2B (NaviGoo24 / PUCK) per la gestione digitale degli ormeggi.</t>
        </is>
      </c>
    </row>
    <row r="11">
      <c r="B11" s="173" t="n"/>
    </row>
    <row r="12">
      <c r="B12" s="177" t="inlineStr">
        <is>
          <t>**Numeri chiave del piano consolidato (Boe + PUCK B2B):**</t>
        </is>
      </c>
    </row>
    <row r="13">
      <c r="B13" s="173" t="n"/>
    </row>
    <row r="14">
      <c r="B14" s="177" t="inlineStr">
        <is>
          <t>| Indicatore | 2027 | 2032 | Cumulato 6 anni |</t>
        </is>
      </c>
    </row>
    <row r="15">
      <c r="B15" s="177" t="inlineStr">
        <is>
          <t>|---|---:|---:|---:|</t>
        </is>
      </c>
    </row>
    <row r="16">
      <c r="B16" s="177" t="inlineStr">
        <is>
          <t>| Boe operative | 15 | 715 | — |</t>
        </is>
      </c>
    </row>
    <row r="17">
      <c r="B17" s="177" t="inlineStr">
        <is>
          <t>| Ricavi totali | 187 k€ | 6.599 k€ | **16.815 k€** |</t>
        </is>
      </c>
    </row>
    <row r="18">
      <c r="B18" s="177" t="inlineStr">
        <is>
          <t>| EBITDA totale | -4 k€ | 5.241 k€ | **12.844 k€** |</t>
        </is>
      </c>
    </row>
    <row r="19">
      <c r="B19" s="177" t="inlineStr">
        <is>
          <t>| Margine EBITDA | -2% | 79% | 76% medio |</t>
        </is>
      </c>
    </row>
    <row r="20">
      <c r="B20" s="177" t="inlineStr">
        <is>
          <t>| CAPEX totale | 201 k€ | 1.883 k€ | **8.815 k€** |</t>
        </is>
      </c>
    </row>
    <row r="21">
      <c r="B21" s="177" t="inlineStr">
        <is>
          <t>| Cash Flow Netto cumulato (con incentivi) | — | — | **~3,5 M€** |</t>
        </is>
      </c>
    </row>
    <row r="22">
      <c r="B22" s="173" t="n"/>
    </row>
    <row r="23">
      <c r="B23" s="177" t="inlineStr">
        <is>
          <t>**Punti distintivi:**</t>
        </is>
      </c>
    </row>
    <row r="24">
      <c r="B24" s="177" t="inlineStr">
        <is>
          <t>- **EBITDA positivo dal 2027** (anno pilota), break-even di cassa nel 2029.</t>
        </is>
      </c>
    </row>
    <row r="25">
      <c r="B25" s="177" t="inlineStr">
        <is>
          <t>- **Crescita 47× del parco boe** in 6 anni, con margine EBITDA che si stabilizza intorno al 79–80% a regime.</t>
        </is>
      </c>
    </row>
    <row r="26">
      <c r="B26" s="177" t="inlineStr">
        <is>
          <t>- Doppia linea di ricavi: hardware-as-a-service (boe) e SaaS B2B (NaviGoo24).</t>
        </is>
      </c>
    </row>
    <row r="27">
      <c r="B27" s="177" t="inlineStr">
        <is>
          <t>- Localizzazione in **Zona Economica Speciale (ZES) Sardegna** con accesso a credito d'imposta sugli investimenti produttivi.</t>
        </is>
      </c>
    </row>
    <row r="28">
      <c r="B28" s="173" t="n"/>
    </row>
    <row r="29">
      <c r="B29" s="17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30">
      <c r="B30" s="173" t="n"/>
    </row>
    <row r="31" ht="24" customHeight="1" s="133">
      <c r="B31" s="174" t="inlineStr">
        <is>
          <t>2. Il progetto</t>
        </is>
      </c>
    </row>
    <row r="32">
      <c r="B32" s="173" t="n"/>
    </row>
    <row r="33" ht="20" customHeight="1" s="133">
      <c r="B33" s="175" t="inlineStr">
        <is>
          <t>2.1 Prodotto</t>
        </is>
      </c>
    </row>
    <row r="34">
      <c r="B34" s="173" t="n"/>
    </row>
    <row r="35">
      <c r="B35" s="177" t="inlineStr">
        <is>
          <t>Sistema fisico **Betty Buoys** = boa da ormeggio galleggiante + corpo morto in granito eco-compatibile (corpo vivo) ancorato al fondale + sensoristica IoT integrata. La componente IoT consente:</t>
        </is>
      </c>
    </row>
    <row r="36">
      <c r="B36" s="177" t="inlineStr">
        <is>
          <t>- riconoscimento automatico dell'imbarcazione ormeggiata,</t>
        </is>
      </c>
    </row>
    <row r="37">
      <c r="B37" s="177" t="inlineStr">
        <is>
          <t>- misurazione dei tempi di occupazione,</t>
        </is>
      </c>
    </row>
    <row r="38">
      <c r="B38" s="177" t="inlineStr">
        <is>
          <t>- comunicazione bidirezionale con app utente per prenotazione e pagamento.</t>
        </is>
      </c>
    </row>
    <row r="39">
      <c r="B39" s="173" t="n"/>
    </row>
    <row r="40" ht="20" customHeight="1" s="133">
      <c r="B40" s="175" t="inlineStr">
        <is>
          <t>2.2 Piattaforma software</t>
        </is>
      </c>
    </row>
    <row r="41">
      <c r="B41" s="173" t="n"/>
    </row>
    <row r="42">
      <c r="B42" s="177" t="inlineStr">
        <is>
          <t>**PUCK App** (lato utente B2C): prenotazione, pagamento, navigazione assistita verso la boa.</t>
        </is>
      </c>
    </row>
    <row r="43">
      <c r="B43" s="177" t="inlineStr">
        <is>
          <t>**NaviGoo24** (lato operatore B2B): dashboard di gestione per concessionari, marina, AMP, comuni costieri. Tre livelli tariffari mensili: Basic 20€, Premium 75€, Enterprise 140€.</t>
        </is>
      </c>
    </row>
    <row r="44">
      <c r="B44" s="173" t="n"/>
    </row>
    <row r="45" ht="20" customHeight="1" s="133">
      <c r="B45" s="175" t="inlineStr">
        <is>
          <t>2.3 Mercato di riferimento</t>
        </is>
      </c>
    </row>
    <row r="46">
      <c r="B46" s="173" t="n"/>
    </row>
    <row r="47">
      <c r="B47" s="177" t="inlineStr">
        <is>
          <t>- **Aree Marine Protette** (AMP) e zone vincolate dove l'ancoraggio tradizionale è proibito.</t>
        </is>
      </c>
    </row>
    <row r="48">
      <c r="B48" s="177" t="inlineStr">
        <is>
          <t>- Marina, porti turistici, concessionari di specchi acquei.</t>
        </is>
      </c>
    </row>
    <row r="49">
      <c r="B49" s="177" t="inlineStr">
        <is>
          <t>- Mercato addressable B2B stimato in ~1.020 operatori potenziali sul territorio nazionale.</t>
        </is>
      </c>
    </row>
    <row r="50">
      <c r="B50" s="173" t="n"/>
    </row>
    <row r="51">
      <c r="B51" s="17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2">
      <c r="B52" s="173" t="n"/>
    </row>
    <row r="53" ht="24" customHeight="1" s="133">
      <c r="B53" s="174" t="inlineStr">
        <is>
          <t>3. Modello di business</t>
        </is>
      </c>
    </row>
    <row r="54">
      <c r="B54" s="173" t="n"/>
    </row>
    <row r="55" ht="20" customHeight="1" s="133">
      <c r="B55" s="175" t="inlineStr">
        <is>
          <t>3.1 Linea Boe (B2C/B2B2C)</t>
        </is>
      </c>
    </row>
    <row r="56">
      <c r="B56" s="173" t="n"/>
    </row>
    <row r="57">
      <c r="B57" s="177" t="inlineStr">
        <is>
          <t>Ricavi unitari = `Boe operative × Occupancy × Giorni operativi × Tariffa per uso`.</t>
        </is>
      </c>
    </row>
    <row r="58">
      <c r="B58" s="173" t="n"/>
    </row>
    <row r="59">
      <c r="B59" s="177" t="inlineStr">
        <is>
          <t>| Anno | Boe cumul. | Tariffa €/uso | Occupancy | Giorni operativi | Ricavi |</t>
        </is>
      </c>
    </row>
    <row r="60">
      <c r="B60" s="177" t="inlineStr">
        <is>
          <t>|---|---:|---:|---:|---:|---:|</t>
        </is>
      </c>
    </row>
    <row r="61">
      <c r="B61" s="177" t="inlineStr">
        <is>
          <t>| 2027 | 15 | 92 | 60% | 150 | 124 k€ |</t>
        </is>
      </c>
    </row>
    <row r="62">
      <c r="B62" s="177" t="inlineStr">
        <is>
          <t>| 2028 | 75 | 60 | 80% | 180 | 648 k€ |</t>
        </is>
      </c>
    </row>
    <row r="63">
      <c r="B63" s="177" t="inlineStr">
        <is>
          <t>| 2029 | 175 | 52 | 90% | 180 | 1.474 k€ |</t>
        </is>
      </c>
    </row>
    <row r="64">
      <c r="B64" s="177" t="inlineStr">
        <is>
          <t>| 2030 | 315 | 50 | 95% | 180 | 2.693 k€ |</t>
        </is>
      </c>
    </row>
    <row r="65">
      <c r="B65" s="177" t="inlineStr">
        <is>
          <t>| 2031 | 495 | 50 | 95% | 180 | 4.232 k€ |</t>
        </is>
      </c>
    </row>
    <row r="66">
      <c r="B66" s="177" t="inlineStr">
        <is>
          <t>| 2032 | 715 | 50 | 95% | 180 | 6.113 k€ |</t>
        </is>
      </c>
    </row>
    <row r="67">
      <c r="B67" s="173" t="n"/>
    </row>
    <row r="68">
      <c r="B68" s="177" t="inlineStr">
        <is>
          <t>**Logica tariffaria**: la tariffa premium 92€ del 2027 corrisponde alla fase pilota (alta personalizzazione, test, validazione); dal 2028 si transita a tariffa standard 50–60€ per stimolare adozione di massa.</t>
        </is>
      </c>
    </row>
    <row r="69">
      <c r="B69" s="173" t="n"/>
    </row>
    <row r="70" ht="20" customHeight="1" s="133">
      <c r="B70" s="175" t="inlineStr">
        <is>
          <t>3.2 Linea NaviGoo24 / PUCK B2B (SaaS)</t>
        </is>
      </c>
    </row>
    <row r="71">
      <c r="B71" s="173" t="n"/>
    </row>
    <row r="72">
      <c r="B72" s="177" t="inlineStr">
        <is>
          <t>| Anno | Contratti tot. | Basic | Premium | Enterprise | Ricavi | EBITDA |</t>
        </is>
      </c>
    </row>
    <row r="73">
      <c r="B73" s="177" t="inlineStr">
        <is>
          <t>|---|---:|---:|---:|---:|---:|---:|</t>
        </is>
      </c>
    </row>
    <row r="74">
      <c r="B74" s="177" t="inlineStr">
        <is>
          <t>| 2027 | 120 | 80 | 30 | 10 | 63 k€ | -35 k€ |</t>
        </is>
      </c>
    </row>
    <row r="75">
      <c r="B75" s="177" t="inlineStr">
        <is>
          <t>| 2028 | 195 | 150 | 30 | 15 | 88 k€ | +5 k€ |</t>
        </is>
      </c>
    </row>
    <row r="76">
      <c r="B76" s="177" t="inlineStr">
        <is>
          <t>| 2029 | 390 | 300 | 60 | 30 | 176 k€ | +81 k€ |</t>
        </is>
      </c>
    </row>
    <row r="77">
      <c r="B77" s="177" t="inlineStr">
        <is>
          <t>| 2030 | 600 | 450 | 100 | 50 | 282 k€ | +159 k€ |</t>
        </is>
      </c>
    </row>
    <row r="78">
      <c r="B78" s="177" t="inlineStr">
        <is>
          <t>| 2031 | 1.000 | 800 | 120 | 80 | 434 k€ | +273 k€ |</t>
        </is>
      </c>
    </row>
    <row r="79">
      <c r="B79" s="177" t="inlineStr">
        <is>
          <t>| 2032 | 1.040 | 800 | 140 | 100 | 486 k€ | +325 k€ |</t>
        </is>
      </c>
    </row>
    <row r="80">
      <c r="B80" s="173" t="n"/>
    </row>
    <row r="81">
      <c r="B81" s="177" t="inlineStr">
        <is>
          <t>EBITDA cumulato linea SaaS: **+809 k€** sui 6 anni.</t>
        </is>
      </c>
    </row>
    <row r="82">
      <c r="B82" s="173" t="n"/>
    </row>
    <row r="83">
      <c r="B83" s="17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84">
      <c r="B84" s="173" t="n"/>
    </row>
    <row r="85" ht="24" customHeight="1" s="133">
      <c r="B85" s="174" t="inlineStr">
        <is>
          <t>4. Piano operativo</t>
        </is>
      </c>
    </row>
    <row r="86">
      <c r="B86" s="173" t="n"/>
    </row>
    <row r="87" ht="20" customHeight="1" s="133">
      <c r="B87" s="175" t="inlineStr">
        <is>
          <t>4.1 Deployment boe (CAPEX)</t>
        </is>
      </c>
    </row>
    <row r="88">
      <c r="B88" s="173" t="n"/>
    </row>
    <row r="89">
      <c r="B89" s="177" t="inlineStr">
        <is>
          <t>Costo unitario boa completa: **12.000€** (hardware + struttura + installazione, valori di listino pieno — versione 3.0 prudenziale, senza sconti volume).</t>
        </is>
      </c>
    </row>
    <row r="90">
      <c r="B90" s="173" t="n"/>
    </row>
    <row r="91">
      <c r="B91" s="177" t="inlineStr">
        <is>
          <t>| Anno | Boe nuove | CAPEX boe | CAPEX iniziale¹ | CAPEX totale |</t>
        </is>
      </c>
    </row>
    <row r="92">
      <c r="B92" s="177" t="inlineStr">
        <is>
          <t>|---|---:|---:|---:|---:|</t>
        </is>
      </c>
    </row>
    <row r="93">
      <c r="B93" s="177" t="inlineStr">
        <is>
          <t>| 2027 | 15 | 180 k€ | 75 k€ | 255 k€ |</t>
        </is>
      </c>
    </row>
    <row r="94">
      <c r="B94" s="177" t="inlineStr">
        <is>
          <t>| 2028 | 60 | 720 k€ | 65 k€ | 785 k€ |</t>
        </is>
      </c>
    </row>
    <row r="95">
      <c r="B95" s="177" t="inlineStr">
        <is>
          <t>| 2029 | 100 | 1.200 k€ | 5 k€ | 1.205 k€ |</t>
        </is>
      </c>
    </row>
    <row r="96">
      <c r="B96" s="177" t="inlineStr">
        <is>
          <t>| 2030 | 140 | 1.680 k€ | 50 k€ | 1.730 k€ |</t>
        </is>
      </c>
    </row>
    <row r="97">
      <c r="B97" s="177" t="inlineStr">
        <is>
          <t>| 2031 | 180 | 2.160 k€ | 5 k€ | 2.165 k€ |</t>
        </is>
      </c>
    </row>
    <row r="98">
      <c r="B98" s="177" t="inlineStr">
        <is>
          <t>| 2032 | 220 | 2.640 k€ | 35 k€ | 2.675 k€ |</t>
        </is>
      </c>
    </row>
    <row r="99">
      <c r="B99" s="177" t="inlineStr">
        <is>
          <t>| **TOT** | **715** | **8.580 k€** | **235 k€** | **8.815 k€** |</t>
        </is>
      </c>
    </row>
    <row r="100">
      <c r="B100" s="173" t="n"/>
    </row>
    <row r="101">
      <c r="B101" s="177" t="inlineStr">
        <is>
          <t>¹ R&amp;D, gommoni, furgone, attrezzatura.</t>
        </is>
      </c>
    </row>
    <row r="102">
      <c r="B102" s="173" t="n"/>
    </row>
    <row r="103" ht="20" customHeight="1" s="133">
      <c r="B103" s="175" t="inlineStr">
        <is>
          <t>4.2 OPEX</t>
        </is>
      </c>
    </row>
    <row r="104">
      <c r="B104" s="173" t="n"/>
    </row>
    <row r="105">
      <c r="B105" s="177" t="inlineStr">
        <is>
          <t>Struttura OPEX **Boe**:</t>
        </is>
      </c>
    </row>
    <row r="106">
      <c r="B106" s="177" t="inlineStr">
        <is>
          <t>- **OPEX base** = 70.000€/anno (personale, app, logistica, utilities) con crescita annua +5%.</t>
        </is>
      </c>
    </row>
    <row r="107">
      <c r="B107" s="177" t="inlineStr">
        <is>
          <t>- **OPEX ricorrente per boa** = 1.550€/boa/anno (ricambi 312 + assicurazione 65 + SIM 48 + posa stagionale 1.125).</t>
        </is>
      </c>
    </row>
    <row r="108">
      <c r="B108" s="173" t="n"/>
    </row>
    <row r="109">
      <c r="B109" s="177" t="inlineStr">
        <is>
          <t>Struttura OPEX **NaviGoo24**: software, marketing, infrastruttura, personale commerciale (vedi BP per dettaglio annuo).</t>
        </is>
      </c>
    </row>
    <row r="110">
      <c r="B110" s="173" t="n"/>
    </row>
    <row r="111">
      <c r="B111" s="177" t="inlineStr">
        <is>
          <t>OPEX consolidato 6 anni: **3,97 M€**.</t>
        </is>
      </c>
    </row>
    <row r="112">
      <c r="B112" s="173" t="n"/>
    </row>
    <row r="113" ht="20" customHeight="1" s="133">
      <c r="B113" s="175" t="inlineStr">
        <is>
          <t>4.3 Ammortamenti</t>
        </is>
      </c>
    </row>
    <row r="114">
      <c r="B114" s="173" t="n"/>
    </row>
    <row r="115">
      <c r="B115" s="177" t="inlineStr">
        <is>
          <t>Boe ammortizzate su 5 anni (durata operativa media). Ammortamenti totali sul periodo: **6,09 M€**, con CAPEX residuo da ammortizzare oltre il 2032 (boe acquistate nel 2028+).</t>
        </is>
      </c>
    </row>
    <row r="116">
      <c r="B116" s="173" t="n"/>
    </row>
    <row r="117">
      <c r="B117" s="17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18">
      <c r="B118" s="173" t="n"/>
    </row>
    <row r="119" ht="24" customHeight="1" s="133">
      <c r="B119" s="174" t="inlineStr">
        <is>
          <t>5. Sintesi del Conto Economico consolidato</t>
        </is>
      </c>
    </row>
    <row r="120">
      <c r="B120" s="173" t="n"/>
    </row>
    <row r="121">
      <c r="B121" s="177" t="inlineStr">
        <is>
          <t>| Voce (k€) | 2027 | 2028 | 2029 | 2030 | 2031 | 2032 | **TOT** |</t>
        </is>
      </c>
    </row>
    <row r="122">
      <c r="B122" s="177" t="inlineStr">
        <is>
          <t>|---|---:|---:|---:|---:|---:|---:|---:|</t>
        </is>
      </c>
    </row>
    <row r="123">
      <c r="B123" s="177" t="inlineStr">
        <is>
          <t>| Ricavi Boe | 124 | 648 | 1.474 | 2.693 | 4.232 | 6.113 | 15.285 |</t>
        </is>
      </c>
    </row>
    <row r="124">
      <c r="B124" s="177" t="inlineStr">
        <is>
          <t>| Ricavi NaviGoo24 | 63 | 88 | 176 | 282 | 434 | 486 | 1.530 |</t>
        </is>
      </c>
    </row>
    <row r="125">
      <c r="B125" s="177" t="inlineStr">
        <is>
          <t>| **Ricavi Totali** | **187** | **736** | **1.651** | **2.975** | **4.667** | **6.599** | **16.815** |</t>
        </is>
      </c>
    </row>
    <row r="126">
      <c r="B126" s="177" t="inlineStr">
        <is>
          <t>| OPEX Boe | 93 | 190 | 348 | 569 | 852 | 1.198 | 3.251 |</t>
        </is>
      </c>
    </row>
    <row r="127">
      <c r="B127" s="177" t="inlineStr">
        <is>
          <t>| OPEX NaviGoo24 | 98 | 83 | 95 | 123 | 161 | 161 | 721 |</t>
        </is>
      </c>
    </row>
    <row r="128">
      <c r="B128" s="177" t="inlineStr">
        <is>
          <t>| **OPEX Totale** | **191** | **273** | **443** | **692** | **1.013** | **1.359** | **3.972** |</t>
        </is>
      </c>
    </row>
    <row r="129">
      <c r="B129" s="177" t="inlineStr">
        <is>
          <t>| **EBITDA Totale** | **-4** | **463** | **1.207** | **2.283** | **3.653** | **5.241** | **12.844** |</t>
        </is>
      </c>
    </row>
    <row r="130">
      <c r="B130" s="177" t="inlineStr">
        <is>
          <t>| Ammortamenti | 51 | 257 | 600 | 1.080 | 1.697 | 2.401 | 6.087 |</t>
        </is>
      </c>
    </row>
    <row r="131">
      <c r="B131" s="177" t="inlineStr">
        <is>
          <t>| **EBIT** | **-55** | **207** | **608** | **1.203** | **1.956** | **2.840** | **6.757** |</t>
        </is>
      </c>
    </row>
    <row r="132">
      <c r="B132" s="173" t="n"/>
    </row>
    <row r="133">
      <c r="B133" s="177" t="inlineStr">
        <is>
          <t>**Break-even analysis:**</t>
        </is>
      </c>
    </row>
    <row r="134">
      <c r="B134" s="177" t="inlineStr">
        <is>
          <t>- EBITDA positivo: dal **2028** (consolidato).</t>
        </is>
      </c>
    </row>
    <row r="135">
      <c r="B135" s="177" t="inlineStr">
        <is>
          <t>- Cash flow operativo positivo: dal **2029**.</t>
        </is>
      </c>
    </row>
    <row r="136">
      <c r="B136" s="177" t="inlineStr">
        <is>
          <t>- Recupero CAPEX cumulato (CFO ≥ CAPEX): atteso entro **fine 2032**.</t>
        </is>
      </c>
    </row>
    <row r="137">
      <c r="B137" s="173" t="n"/>
    </row>
    <row r="138">
      <c r="B138" s="17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39">
      <c r="B139" s="173" t="n"/>
    </row>
    <row r="140" ht="24" customHeight="1" s="133">
      <c r="B140" s="174" t="inlineStr">
        <is>
          <t>6. Piano finanziario e copertura</t>
        </is>
      </c>
    </row>
    <row r="141">
      <c r="B141" s="173" t="n"/>
    </row>
    <row r="142" ht="20" customHeight="1" s="133">
      <c r="B142" s="175" t="inlineStr">
        <is>
          <t>6.1 Fabbisogno finanziario</t>
        </is>
      </c>
    </row>
    <row r="143">
      <c r="B143" s="173" t="n"/>
    </row>
    <row r="144">
      <c r="B144" s="177" t="inlineStr">
        <is>
          <t>Investimento complessivo cumulato 2027–2032: **8,82 M€** di CAPEX + 3,97 M€ di OPEX = **12,79 M€** di esposizione lorda. Coperti progressivamente da:</t>
        </is>
      </c>
    </row>
    <row r="145">
      <c r="B145" s="177" t="inlineStr">
        <is>
          <t>1. Ricavi operativi (16,82 M€ cumulati).</t>
        </is>
      </c>
    </row>
    <row r="146">
      <c r="B146" s="177" t="inlineStr">
        <is>
          <t>2. Contributi pubblici a fondo perduto.</t>
        </is>
      </c>
    </row>
    <row r="147">
      <c r="B147" s="177" t="inlineStr">
        <is>
          <t>3. Crediti d'imposta in compensazione.</t>
        </is>
      </c>
    </row>
    <row r="148">
      <c r="B148" s="177" t="inlineStr">
        <is>
          <t>4. Eventuali finanziamenti agevolati (linea aperta, oggi 0€ a budget).</t>
        </is>
      </c>
    </row>
    <row r="149">
      <c r="B149" s="173" t="n"/>
    </row>
    <row r="150" ht="20" customHeight="1" s="133">
      <c r="B150" s="175" t="inlineStr">
        <is>
          <t>6.2 Incentivi pubblici previsti</t>
        </is>
      </c>
    </row>
    <row r="151">
      <c r="B151" s="173" t="n"/>
    </row>
    <row r="152">
      <c r="B152" s="177" t="inlineStr">
        <is>
          <t>**PNRR – R&amp;D 2027:**</t>
        </is>
      </c>
    </row>
    <row r="153">
      <c r="B153" s="177" t="inlineStr">
        <is>
          <t>- Investimento ammissibile: **250.000€** (R&amp;D iscritto + sperimentazione/pilot).</t>
        </is>
      </c>
    </row>
    <row r="154">
      <c r="B154" s="177" t="inlineStr">
        <is>
          <t>- Contributo a fondo perduto al 80%: **200.000€**.</t>
        </is>
      </c>
    </row>
    <row r="155">
      <c r="B155" s="177" t="inlineStr">
        <is>
          <t>- Erogazione: 2027.</t>
        </is>
      </c>
    </row>
    <row r="156">
      <c r="B156" s="173" t="n"/>
    </row>
    <row r="157">
      <c r="B157" s="178" t="inlineStr">
        <is>
          <t>⚠️ **Disclosure**: il contributo è subordinato a (i) bando attivo e compatibile, (ii) ammissibilità formale delle voci di spesa, (iii) corrispondenza puntuale con scritture contabili in fase di rendicontazione finale.</t>
        </is>
      </c>
    </row>
    <row r="158">
      <c r="B158" s="173" t="n"/>
    </row>
    <row r="159">
      <c r="B159" s="177" t="inlineStr">
        <is>
          <t>**ZES Sardegna – Credito d'imposta:**</t>
        </is>
      </c>
    </row>
    <row r="160">
      <c r="B160" s="177" t="inlineStr">
        <is>
          <t>- Esercizio: 2028.</t>
        </is>
      </c>
    </row>
    <row r="161">
      <c r="B161" s="177" t="inlineStr">
        <is>
          <t>- Importo applicato (cap prudenziale): **256.074€**.</t>
        </is>
      </c>
    </row>
    <row r="162">
      <c r="B162" s="177" t="inlineStr">
        <is>
          <t>- Massimo teorico: 70% × CAPEX boe 2028 = ~504k€ (cap non utilizzato in attesa di istruttoria).</t>
        </is>
      </c>
    </row>
    <row r="163">
      <c r="B163" s="173" t="n"/>
    </row>
    <row r="164">
      <c r="B164" s="178" t="inlineStr">
        <is>
          <t>⚠️ **Disclosure**: trattasi di credito d'imposta utilizzabile **esclusivamente in compensazione F24**, NON liquidità diretta. Beneficio condizionato all'effettivo carico fiscale e alla localizzazione produttiva in zona ZES.</t>
        </is>
      </c>
    </row>
    <row r="165">
      <c r="B165" s="173" t="n"/>
    </row>
    <row r="166">
      <c r="B166" s="177" t="inlineStr">
        <is>
          <t>**Bando Blue Economy 2028**: 300€ (importo simbolico in attesa di apertura bando — da consolidare).</t>
        </is>
      </c>
    </row>
    <row r="167">
      <c r="B167" s="173" t="n"/>
    </row>
    <row r="168" ht="20" customHeight="1" s="133">
      <c r="B168" s="175" t="inlineStr">
        <is>
          <t>6.3 Cash Flow Netto consolidato</t>
        </is>
      </c>
    </row>
    <row r="169">
      <c r="B169" s="173" t="n"/>
    </row>
    <row r="170">
      <c r="B170" s="177" t="inlineStr">
        <is>
          <t>| Anno | CAPEX | Contributi | OPEX | EBITDA | CFO | CF Netto |</t>
        </is>
      </c>
    </row>
    <row r="171">
      <c r="B171" s="177" t="inlineStr">
        <is>
          <t>|---|---:|---:|---:|---:|---:|---:|</t>
        </is>
      </c>
    </row>
    <row r="172">
      <c r="B172" s="177" t="inlineStr">
        <is>
          <t>| 2027 | 255 | 200 | 191 | -4 | -259 | -59 |</t>
        </is>
      </c>
    </row>
    <row r="173">
      <c r="B173" s="177" t="inlineStr">
        <is>
          <t>| 2028 | 785 | 256 | 273 | 463 | -322 | -66 |</t>
        </is>
      </c>
    </row>
    <row r="174">
      <c r="B174" s="177" t="inlineStr">
        <is>
          <t>| 2029 | 1.205 | 0 | 443 | 1.207 | +2 | +2 |</t>
        </is>
      </c>
    </row>
    <row r="175">
      <c r="B175" s="177" t="inlineStr">
        <is>
          <t>| 2030 | 1.730 | 0 | 692 | 2.283 | +553 | +553 |</t>
        </is>
      </c>
    </row>
    <row r="176">
      <c r="B176" s="177" t="inlineStr">
        <is>
          <t>| 2031 | 2.165 | 0 | 1.013 | 3.653 | +1.488 | +1.488 |</t>
        </is>
      </c>
    </row>
    <row r="177">
      <c r="B177" s="177" t="inlineStr">
        <is>
          <t>| 2032 | 2.675 | 0 | 1.359 | 5.241 | +2.566 | +2.566 |</t>
        </is>
      </c>
    </row>
    <row r="178">
      <c r="B178" s="177" t="inlineStr">
        <is>
          <t>| **TOT** | **8.815** | **456** | **3.972** | **12.844** | **+4.029** | **+4.485** |</t>
        </is>
      </c>
    </row>
    <row r="179">
      <c r="B179" s="173" t="n"/>
    </row>
    <row r="180">
      <c r="B180" s="177" t="inlineStr">
        <is>
          <t>Valori in k€. CFO = EBITDA - CAPEX. CF Netto = CFO + Contributi.</t>
        </is>
      </c>
    </row>
    <row r="181">
      <c r="B181" s="173" t="n"/>
    </row>
    <row r="182">
      <c r="B182" s="177" t="inlineStr">
        <is>
          <t>**Picco di fabbisogno**: a fine 2028 il cash flow operativo cumulato è ancora negativo (~-580 k€). È in questa finestra che si concentra il fabbisogno di equity / debito ponte. Dal 2029 il piano si autofinanzia con i ricavi operativi.</t>
        </is>
      </c>
    </row>
    <row r="183">
      <c r="B183" s="173" t="n"/>
    </row>
    <row r="184">
      <c r="B184" s="17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85">
      <c r="B185" s="173" t="n"/>
    </row>
    <row r="186" ht="24" customHeight="1" s="133">
      <c r="B186" s="174" t="inlineStr">
        <is>
          <t>7. Analisi di resilienza e break-even</t>
        </is>
      </c>
    </row>
    <row r="187">
      <c r="B187" s="173" t="n"/>
    </row>
    <row r="188">
      <c r="B188" s="177" t="inlineStr">
        <is>
          <t>Per ogni anno è calcolato il numero minimo di boe necessario per raggiungere il break-even, in tre scenari:</t>
        </is>
      </c>
    </row>
    <row r="189">
      <c r="B189" s="173" t="n"/>
    </row>
    <row r="190">
      <c r="B190" s="177" t="inlineStr">
        <is>
          <t>| Anno | Boe effettive | BEP scenario base | BEP +15% costi fissi | BEP +10% costi var. | Margine sicurezza |</t>
        </is>
      </c>
    </row>
    <row r="191">
      <c r="B191" s="177" t="inlineStr">
        <is>
          <t>|---|---:|---:|---:|---:|---:|</t>
        </is>
      </c>
    </row>
    <row r="192">
      <c r="B192" s="177" t="inlineStr">
        <is>
          <t>| 2027 | 15 | 10,4 | 12,0 | 10,7 | 31% |</t>
        </is>
      </c>
    </row>
    <row r="193">
      <c r="B193" s="177" t="inlineStr">
        <is>
          <t>| 2028 | 75 | 10,4 | 11,9 | 10,6 | 86% |</t>
        </is>
      </c>
    </row>
    <row r="194">
      <c r="B194" s="177" t="inlineStr">
        <is>
          <t>| 2029 | 175 | 11,2 | 12,9 | 11,5 | 94% |</t>
        </is>
      </c>
    </row>
    <row r="195">
      <c r="B195" s="177" t="inlineStr">
        <is>
          <t>| 2030 | 315 | 11,6 | 13,3 | 11,8 | 96% |</t>
        </is>
      </c>
    </row>
    <row r="196">
      <c r="B196" s="177" t="inlineStr">
        <is>
          <t>| 2031 | 495 | 12,2 | 14,0 | 12,4 | 98% |</t>
        </is>
      </c>
    </row>
    <row r="197">
      <c r="B197" s="177" t="inlineStr">
        <is>
          <t>| 2032 | 715 | 12,8 | 14,7 | 13,1 | 98% |</t>
        </is>
      </c>
    </row>
    <row r="198">
      <c r="B198" s="173" t="n"/>
    </row>
    <row r="199">
      <c r="B199" s="177" t="inlineStr">
        <is>
          <t>**Lettura**: dal 2028 in poi il margine di sicurezza supera l'85%, indicando un piano molto resistente a shock di costi entro il +15%.</t>
        </is>
      </c>
    </row>
    <row r="200">
      <c r="B200" s="173" t="n"/>
    </row>
    <row r="201">
      <c r="B201" s="17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02">
      <c r="B202" s="173" t="n"/>
    </row>
    <row r="203" ht="24" customHeight="1" s="133">
      <c r="B203" s="174" t="inlineStr">
        <is>
          <t>8. Principali rischi e mitigazioni</t>
        </is>
      </c>
    </row>
    <row r="204">
      <c r="B204" s="173" t="n"/>
    </row>
    <row r="205">
      <c r="B205" s="177" t="inlineStr">
        <is>
          <t>| # | Rischio | Probabilità | Impatto | Mitigazione |</t>
        </is>
      </c>
    </row>
    <row r="206">
      <c r="B206" s="177" t="inlineStr">
        <is>
          <t>|---|---|---|---|---|</t>
        </is>
      </c>
    </row>
    <row r="207">
      <c r="B207" s="177" t="inlineStr">
        <is>
          <t>| R1 | Slittamento autorizzazioni AMP / concessioni | Media | Alta | Pre-accordi con AMP e comuni; fase pilota 2027 con 15 boe già autorizzate |</t>
        </is>
      </c>
    </row>
    <row r="208">
      <c r="B208" s="177" t="inlineStr">
        <is>
          <t>| R2 | Ritardo erogazione PNRR | Media | Media | Cap conservativo a 200k€; piano fattibile anche senza (con maggior fabbisogno equity) |</t>
        </is>
      </c>
    </row>
    <row r="209">
      <c r="B209" s="177" t="inlineStr">
        <is>
          <t>| R3 | Prezzo unitario boa al rialzo | Bassa | Media | Valori a listino pieno (no sconti); negoziazione volume oltre 300 unità |</t>
        </is>
      </c>
    </row>
    <row r="210">
      <c r="B210" s="177" t="inlineStr">
        <is>
          <t>| R4 | Occupancy reale &lt; 95% | Media | Media | BEP con margine sicurezza &gt;85% dal 2028; tariffa flessibile |</t>
        </is>
      </c>
    </row>
    <row r="211">
      <c r="B211" s="177" t="inlineStr">
        <is>
          <t>| R5 | Concorrenza tecnologica | Bassa | Alta | Brevetti su corpo vivo + integrazione IoT; vantaggio first-mover |</t>
        </is>
      </c>
    </row>
    <row r="212">
      <c r="B212" s="177" t="inlineStr">
        <is>
          <t>| R6 | Adozione PUCK B2B sotto target | Media | Bassa | Linea SaaS rappresenta solo il 9% dei ricavi; piano resiste anche a tasso adozione 50% |</t>
        </is>
      </c>
    </row>
    <row r="213">
      <c r="B213" s="173" t="n"/>
    </row>
    <row r="214">
      <c r="B214" s="17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15">
      <c r="B215" s="173" t="n"/>
    </row>
    <row r="216" ht="24" customHeight="1" s="133">
      <c r="B216" s="174" t="inlineStr">
        <is>
          <t>9. Note metodologiche (v3.0)</t>
        </is>
      </c>
    </row>
    <row r="217">
      <c r="B217" s="173" t="n"/>
    </row>
    <row r="218">
      <c r="B218" s="177" t="inlineStr">
        <is>
          <t>Questa versione include le seguenti correzioni rispetto al modello originale:</t>
        </is>
      </c>
    </row>
    <row r="219">
      <c r="B219" s="173" t="n"/>
    </row>
    <row r="220">
      <c r="B220" s="177" t="inlineStr">
        <is>
          <t>**Correttezza tecnica (Tier 1):**</t>
        </is>
      </c>
    </row>
    <row r="221">
      <c r="B221" s="177" t="inlineStr">
        <is>
          <t>- Rinominato foglio piano BP da "2026_2031" a "2027_2032".</t>
        </is>
      </c>
    </row>
    <row r="222">
      <c r="B222" s="177" t="inlineStr">
        <is>
          <t>- Riallineati i label di anno nelle tabelle PUCK B2B (precedentemente shift di un anno).</t>
        </is>
      </c>
    </row>
    <row r="223">
      <c r="B223" s="177" t="inlineStr">
        <is>
          <t>- Ammortamenti riallineati al CAPEX effettivo.</t>
        </is>
      </c>
    </row>
    <row r="224">
      <c r="B224" s="177" t="inlineStr">
        <is>
          <t>- Pulite celle con errori di formula (#NAME?, testi orfani).</t>
        </is>
      </c>
    </row>
    <row r="225">
      <c r="B225" s="173" t="n"/>
    </row>
    <row r="226">
      <c r="B226" s="177" t="inlineStr">
        <is>
          <t>**Solidità finanziaria (Tier 2):**</t>
        </is>
      </c>
    </row>
    <row r="227">
      <c r="B227" s="177" t="inlineStr">
        <is>
          <t>- **Sconto fornitore 30% rimosso**: costo boa a listino pieno 12.000€ per coerenza con valutazione prudenziale.</t>
        </is>
      </c>
    </row>
    <row r="228">
      <c r="B228" s="177" t="inlineStr">
        <is>
          <t>- **PNRR ridimensionato** a 250k ammissibili / 200k fondo perduto: in linea con spese R&amp;D effettivamente certificabili.</t>
        </is>
      </c>
    </row>
    <row r="229">
      <c r="B229" s="177" t="inlineStr">
        <is>
          <t>- **ZES esplicitato** come formula con cap prudenziale 256k.</t>
        </is>
      </c>
    </row>
    <row r="230">
      <c r="B230" s="177" t="inlineStr">
        <is>
          <t>- **NaviGoo24 consolidato** in Piano Finanziario e Conto Economico (precedentemente trattata come linea separata).</t>
        </is>
      </c>
    </row>
    <row r="231">
      <c r="B231" s="173" t="n"/>
    </row>
    <row r="232">
      <c r="B232" s="177" t="inlineStr">
        <is>
          <t>**Disclosure di rischio:** banner gialli espliciti su ogni ipotesi condizionata da bandi, istruttorie o trattative.</t>
        </is>
      </c>
    </row>
    <row r="233">
      <c r="B233" s="173" t="n"/>
    </row>
    <row r="234">
      <c r="B234" s="17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35">
      <c r="B235" s="173" t="n"/>
    </row>
    <row r="236" ht="24" customHeight="1" s="133">
      <c r="B236" s="174" t="inlineStr">
        <is>
          <t>10. Conclusioni</t>
        </is>
      </c>
    </row>
    <row r="237">
      <c r="B237" s="173" t="n"/>
    </row>
    <row r="238">
      <c r="B238" s="177" t="inlineStr">
        <is>
          <t>Il Business Plan v3.0 di Seainnova presenta un profilo economico **strutturalmente solido** dal secondo anno di operatività (2028), con margini EBITDA che si stabilizzano intorno al 79% a regime e un break-even di cassa nel 2029. La principale finestra di esposizione finanziaria si concentra nel biennio 2027–2028 (~580 k€ di fabbisogno netto cumulato a metà 2028), copribile attraverso una combinazione di equity e finanziamenti agevolati attualmente non prezzati a piano.</t>
        </is>
      </c>
    </row>
    <row r="239">
      <c r="B239" s="173" t="n"/>
    </row>
    <row r="240">
      <c r="B240" s="177" t="inlineStr">
        <is>
          <t>L'integrazione tra hardware proprietario (boe IoT) e piattaforma SaaS (NaviGoo24) configura un modello **dual revenue** con buona diversificazione del rischio commerciale. La localizzazione in ZES Sardegna offre vantaggi fiscali strutturali, mentre i contributi PNRR — sebbene ridimensionati nella v3.0 per prudenza valutativa — restano una leva significativa nella fase di start-up.</t>
        </is>
      </c>
    </row>
    <row r="241">
      <c r="B241" s="173" t="n"/>
    </row>
    <row r="242">
      <c r="B242" s="177" t="inlineStr">
        <is>
          <t>Le ipotesi di occupancy 95% a regime, tariffa stabile a 50€/uso e crescita massiva del parco boe (47× in 6 anni) rappresentano i parametri da monitorare con maggiore attenzione operativa, con margine di sicurezza comunque robusto rispetto al break-even.</t>
        </is>
      </c>
    </row>
    <row r="243">
      <c r="B243" s="173" t="n"/>
    </row>
    <row r="244">
      <c r="B244" s="17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45">
      <c r="B245" s="173" t="n"/>
    </row>
    <row r="246">
      <c r="B246" s="177" t="inlineStr">
        <is>
          <t>**Documento redatto a corredo del file:** `BP_Seainnova_2027_2032_CORRETTO.xlsx` (versione 3.0)</t>
        </is>
      </c>
    </row>
    <row r="247">
      <c r="B247" s="177" t="inlineStr">
        <is>
          <t>**Riferimenti:** Seainnova S.r.l. — Luca Rovere (CEO) — luca.rovere@seainnova.com — La Maddalena (SS)</t>
        </is>
      </c>
    </row>
    <row r="248">
      <c r="B248" s="17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A6A6A6"/>
    <outlinePr summaryBelow="1" summaryRight="1"/>
    <pageSetUpPr/>
  </sheetPr>
  <dimension ref="B2:E100"/>
  <sheetViews>
    <sheetView zoomScale="125" zoomScaleNormal="125" workbookViewId="0">
      <selection activeCell="B3" sqref="B3:E3"/>
    </sheetView>
  </sheetViews>
  <sheetFormatPr baseColWidth="10" defaultColWidth="8.83203125" defaultRowHeight="15"/>
  <cols>
    <col width="3" customWidth="1" style="133" min="1" max="1"/>
    <col width="30" customWidth="1" style="133" min="2" max="2"/>
    <col width="45" customWidth="1" style="133" min="3" max="3"/>
    <col width="35" customWidth="1" style="133" min="4" max="4"/>
    <col width="3" customWidth="1" style="133" min="5" max="5"/>
  </cols>
  <sheetData>
    <row r="2" ht="21" customHeight="1" s="133">
      <c r="B2" s="134" t="inlineStr">
        <is>
          <t>📖 GUIDA ALL'USO DEL BUSINESS PLAN</t>
        </is>
      </c>
    </row>
    <row r="3">
      <c r="B3" s="132" t="inlineStr">
        <is>
          <t>Seainnova  - Sistema Boe Ormeggio Intelligenti 2027-2032</t>
        </is>
      </c>
    </row>
    <row r="6" ht="15.75" customHeight="1" s="133">
      <c r="B6" s="17" t="inlineStr">
        <is>
          <t>📊 STRUTTURA DEL BUSINESS PLAN</t>
        </is>
      </c>
    </row>
    <row r="7">
      <c r="B7" s="18" t="inlineStr">
        <is>
          <t>Foglio</t>
        </is>
      </c>
      <c r="C7" s="18" t="inlineStr">
        <is>
          <t>Descrizione</t>
        </is>
      </c>
      <c r="D7" s="18" t="inlineStr">
        <is>
          <t>Tipo</t>
        </is>
      </c>
    </row>
    <row r="8">
      <c r="B8" t="inlineStr">
        <is>
          <t>1. Leggenda</t>
        </is>
      </c>
      <c r="C8" t="inlineStr">
        <is>
          <t>Questa pagina - Guida all'uso</t>
        </is>
      </c>
      <c r="D8" t="inlineStr">
        <is>
          <t>Informativa</t>
        </is>
      </c>
    </row>
    <row r="9">
      <c r="B9" s="19" t="inlineStr">
        <is>
          <t>2. Assunzioni</t>
        </is>
      </c>
      <c r="C9" t="inlineStr">
        <is>
          <t>⚙️ PARAMETRI INPUT - Modifica qui tutti i valori</t>
        </is>
      </c>
      <c r="D9" s="19" t="inlineStr">
        <is>
          <t>EDITABILE ✏️</t>
        </is>
      </c>
    </row>
    <row r="10">
      <c r="B10" t="inlineStr">
        <is>
          <t>3. BP_BettyBuoys_2027_2032</t>
        </is>
      </c>
      <c r="C10" t="inlineStr">
        <is>
          <t>Piano completo 6 anni con formule automatiche</t>
        </is>
      </c>
      <c r="D10" t="inlineStr">
        <is>
          <t>Calcolato 🔄</t>
        </is>
      </c>
    </row>
    <row r="11">
      <c r="B11" t="inlineStr">
        <is>
          <t>4. DASHBOARD</t>
        </is>
      </c>
      <c r="C11" t="inlineStr">
        <is>
          <t>Sintesi visiva e KPI principali</t>
        </is>
      </c>
      <c r="D11" t="inlineStr">
        <is>
          <t>Calcolato 🔄</t>
        </is>
      </c>
    </row>
    <row r="12">
      <c r="B12" t="inlineStr">
        <is>
          <t>5. Conto_Economico</t>
        </is>
      </c>
      <c r="C12" t="inlineStr">
        <is>
          <t>Dettaglio ricavi, costi, EBITDA anno per anno</t>
        </is>
      </c>
      <c r="D12" t="inlineStr">
        <is>
          <t>Calcolato 🔄</t>
        </is>
      </c>
    </row>
    <row r="13">
      <c r="B13" t="inlineStr">
        <is>
          <t>6. Glossario</t>
        </is>
      </c>
      <c r="C13" t="inlineStr">
        <is>
          <t>Definizioni termini tecnici e finanziari</t>
        </is>
      </c>
      <c r="D13" t="inlineStr">
        <is>
          <t>Informativa</t>
        </is>
      </c>
    </row>
    <row r="16" ht="15.75" customHeight="1" s="133">
      <c r="B16" s="17" t="inlineStr">
        <is>
          <t>🎨 CODICE COLORI CELLE</t>
        </is>
      </c>
    </row>
    <row r="17">
      <c r="B17" s="18" t="inlineStr">
        <is>
          <t>Colore</t>
        </is>
      </c>
      <c r="C17" s="18" t="inlineStr">
        <is>
          <t>Significato</t>
        </is>
      </c>
      <c r="D17" s="18" t="inlineStr">
        <is>
          <t>Azione</t>
        </is>
      </c>
    </row>
    <row r="18">
      <c r="B18" s="20" t="inlineStr">
        <is>
          <t>Grigio chiaro</t>
        </is>
      </c>
      <c r="C18" t="inlineStr">
        <is>
          <t>Cella INPUT - Valore che puoi modificare</t>
        </is>
      </c>
      <c r="D18" t="inlineStr">
        <is>
          <t>✏️ MODIFICA LIBERAMENTE</t>
        </is>
      </c>
    </row>
    <row r="19">
      <c r="B19" s="21" t="inlineStr">
        <is>
          <t>Giallo chiaro</t>
        </is>
      </c>
      <c r="C19" t="inlineStr">
        <is>
          <t>Cella FORMULA - Si aggiorna automaticamente</t>
        </is>
      </c>
      <c r="D19" t="inlineStr">
        <is>
          <t>🔒 NON MODIFICARE</t>
        </is>
      </c>
    </row>
    <row r="20">
      <c r="B20" s="18" t="inlineStr">
        <is>
          <t>Blu scuro</t>
        </is>
      </c>
      <c r="C20" t="inlineStr">
        <is>
          <t>HEADER - Intestazione colonna/sezione</t>
        </is>
      </c>
      <c r="D20" t="inlineStr">
        <is>
          <t>🔒 NON MODIFICARE</t>
        </is>
      </c>
    </row>
    <row r="21">
      <c r="B21" s="22" t="inlineStr">
        <is>
          <t>Arancione</t>
        </is>
      </c>
      <c r="C21" t="inlineStr">
        <is>
          <t>TOTALE - Somma o aggregazione</t>
        </is>
      </c>
      <c r="D21" t="inlineStr">
        <is>
          <t>🔒 NON MODIFICARE</t>
        </is>
      </c>
    </row>
    <row r="24" ht="15.75" customHeight="1" s="133">
      <c r="B24" s="17" t="inlineStr">
        <is>
          <t>⚙️ COME MODIFICARE IL BUSINESS PLAN</t>
        </is>
      </c>
    </row>
    <row r="25">
      <c r="B25" s="18" t="inlineStr">
        <is>
          <t>Step</t>
        </is>
      </c>
      <c r="C25" s="18" t="inlineStr">
        <is>
          <t>Azione</t>
        </is>
      </c>
      <c r="D25" s="18" t="inlineStr">
        <is>
          <t>Note</t>
        </is>
      </c>
    </row>
    <row r="26">
      <c r="B26" s="23" t="inlineStr">
        <is>
          <t>1</t>
        </is>
      </c>
      <c r="C26" t="inlineStr">
        <is>
          <t>Vai al foglio 'Assunzioni'</t>
        </is>
      </c>
      <c r="D26" t="inlineStr">
        <is>
          <t>Qui trovi TUTTI i parametri modificabili</t>
        </is>
      </c>
    </row>
    <row r="27">
      <c r="B27" s="23" t="inlineStr">
        <is>
          <t>2</t>
        </is>
      </c>
      <c r="C27" t="inlineStr">
        <is>
          <t>Identifica le celle GRIGIE</t>
        </is>
      </c>
      <c r="D27" t="inlineStr">
        <is>
          <t>Solo queste sono editabili</t>
        </is>
      </c>
    </row>
    <row r="28">
      <c r="B28" s="23" t="inlineStr">
        <is>
          <t>3</t>
        </is>
      </c>
      <c r="C28" t="inlineStr">
        <is>
          <t>Modifica il valore desiderato</t>
        </is>
      </c>
      <c r="D28" t="inlineStr">
        <is>
          <t>Esempio: cambia boe da 15 a 20</t>
        </is>
      </c>
    </row>
    <row r="29">
      <c r="B29" s="23" t="inlineStr">
        <is>
          <t>4</t>
        </is>
      </c>
      <c r="C29" t="inlineStr">
        <is>
          <t>Premi INVIO</t>
        </is>
      </c>
      <c r="D29" t="inlineStr">
        <is>
          <t>Tutte le formule si aggiornano automaticamente</t>
        </is>
      </c>
    </row>
    <row r="30">
      <c r="B30" s="23" t="inlineStr">
        <is>
          <t>5</t>
        </is>
      </c>
      <c r="C30" t="inlineStr">
        <is>
          <t>Verifica i risultati</t>
        </is>
      </c>
      <c r="D30" t="inlineStr">
        <is>
          <t>Controlla DASHBOARD o BP per vedere l'impatto</t>
        </is>
      </c>
    </row>
    <row r="33" ht="15.75" customHeight="1" s="133">
      <c r="B33" s="17" t="inlineStr">
        <is>
          <t>📋 PARAMETRI PRINCIPALI MODIFICABILI</t>
        </is>
      </c>
    </row>
    <row r="34">
      <c r="B34" s="18" t="inlineStr">
        <is>
          <t>Parametro</t>
        </is>
      </c>
      <c r="C34" s="18" t="inlineStr">
        <is>
          <t>Dove Trovarlo</t>
        </is>
      </c>
      <c r="D34" s="18" t="inlineStr">
        <is>
          <t>Impatto</t>
        </is>
      </c>
    </row>
    <row r="35">
      <c r="B35" t="inlineStr">
        <is>
          <t>Boe nuove per anno</t>
        </is>
      </c>
      <c r="C35" t="inlineStr">
        <is>
          <t>Assunzioni → C8:C13</t>
        </is>
      </c>
      <c r="D35" t="inlineStr">
        <is>
          <t>Deployment, ricavi, costi</t>
        </is>
      </c>
    </row>
    <row r="36">
      <c r="B36" t="inlineStr">
        <is>
          <t>Tariffa €/uso</t>
        </is>
      </c>
      <c r="C36" t="inlineStr">
        <is>
          <t>Assunzioni → C17:C22</t>
        </is>
      </c>
      <c r="D36" t="inlineStr">
        <is>
          <t>Ricavi totali</t>
        </is>
      </c>
    </row>
    <row r="37">
      <c r="B37" t="inlineStr">
        <is>
          <t>Occupancy %</t>
        </is>
      </c>
      <c r="C37" t="inlineStr">
        <is>
          <t>Assunzioni → D17:D22</t>
        </is>
      </c>
      <c r="D37" t="inlineStr">
        <is>
          <t>Ricavi totali, utilizzo</t>
        </is>
      </c>
    </row>
    <row r="38">
      <c r="B38" t="inlineStr">
        <is>
          <t>Costo boa</t>
        </is>
      </c>
      <c r="C38" t="inlineStr">
        <is>
          <t>Assunzioni → C26</t>
        </is>
      </c>
      <c r="D38" t="inlineStr">
        <is>
          <t>Costi diretti produzione</t>
        </is>
      </c>
    </row>
    <row r="39">
      <c r="B39" t="inlineStr">
        <is>
          <t>OPEX base</t>
        </is>
      </c>
      <c r="C39" t="inlineStr">
        <is>
          <t>Assunzioni → C27</t>
        </is>
      </c>
      <c r="D39" t="inlineStr">
        <is>
          <t>Costi operativi</t>
        </is>
      </c>
    </row>
    <row r="40">
      <c r="B40" t="inlineStr">
        <is>
          <t>Crescita OPEX</t>
        </is>
      </c>
      <c r="C40" t="inlineStr">
        <is>
          <t>Assunzioni → C28</t>
        </is>
      </c>
      <c r="D40" t="inlineStr">
        <is>
          <t>Aumento costi anno su anno</t>
        </is>
      </c>
    </row>
    <row r="41">
      <c r="B41" t="inlineStr">
        <is>
          <t>Incentivi PNRR/ZES</t>
        </is>
      </c>
      <c r="C41" t="inlineStr">
        <is>
          <t>Assunzioni → C34:C36</t>
        </is>
      </c>
      <c r="D41" t="inlineStr">
        <is>
          <t>Riduzione costi effettivi</t>
        </is>
      </c>
    </row>
    <row r="44" ht="15.75" customHeight="1" s="133">
      <c r="B44" s="17" t="inlineStr">
        <is>
          <t>📚 GLOSSARIO TERMINI FINANZIARI</t>
        </is>
      </c>
    </row>
    <row r="45">
      <c r="B45" s="18" t="inlineStr">
        <is>
          <t>Termine</t>
        </is>
      </c>
      <c r="C45" s="18" t="inlineStr">
        <is>
          <t>Definizione Semplice</t>
        </is>
      </c>
    </row>
    <row r="46">
      <c r="B46" s="24" t="inlineStr">
        <is>
          <t>CAPEX</t>
        </is>
      </c>
      <c r="C46" t="inlineStr">
        <is>
          <t>Investimenti in beni (boe, hardware) - spesa una tantum</t>
        </is>
      </c>
    </row>
    <row r="47">
      <c r="B47" s="24" t="inlineStr">
        <is>
          <t>OPEX</t>
        </is>
      </c>
      <c r="C47" t="inlineStr">
        <is>
          <t>Costi operativi ricorrenti (stipendi, manutenzione) - ogni anno</t>
        </is>
      </c>
    </row>
    <row r="48">
      <c r="B48" s="24" t="inlineStr">
        <is>
          <t>EBITDA</t>
        </is>
      </c>
      <c r="C48" t="inlineStr">
        <is>
          <t>Utile operativo = Ricavi - OPEX - Costi diretti</t>
        </is>
      </c>
    </row>
    <row r="49">
      <c r="B49" s="24" t="inlineStr">
        <is>
          <t>Margine %</t>
        </is>
      </c>
      <c r="C49" t="inlineStr">
        <is>
          <t>Percentuale di guadagno sui ricavi = EBITDA / Ricavi</t>
        </is>
      </c>
    </row>
    <row r="50">
      <c r="B50" s="24" t="inlineStr">
        <is>
          <t>Break-even</t>
        </is>
      </c>
      <c r="C50" t="inlineStr">
        <is>
          <t>Punto dove ricavi = costi (né guadagno né perdita)</t>
        </is>
      </c>
    </row>
    <row r="51">
      <c r="B51" s="24" t="inlineStr">
        <is>
          <t>Occupancy</t>
        </is>
      </c>
      <c r="C51" t="inlineStr">
        <is>
          <t>% utilizzo delle boe = giorni occupati / giorni disponibili</t>
        </is>
      </c>
    </row>
    <row r="52">
      <c r="B52" s="24" t="inlineStr">
        <is>
          <t>Deployment</t>
        </is>
      </c>
      <c r="C52" t="inlineStr">
        <is>
          <t>Numero di boe installate e operative</t>
        </is>
      </c>
    </row>
    <row r="53">
      <c r="B53" s="24" t="inlineStr">
        <is>
          <t>Cash Flow Operativo</t>
        </is>
      </c>
      <c r="C53" t="inlineStr">
        <is>
          <t>EBITDA - CAPEX = Liquidità generata dall'operatività dopo investimenti</t>
        </is>
      </c>
    </row>
    <row r="54">
      <c r="B54" s="24" t="inlineStr">
        <is>
          <t>Ammortamento</t>
        </is>
      </c>
      <c r="C54" t="inlineStr">
        <is>
          <t>Ripartizione contabile del costo di un asset su più anni (boe su 5 anni)</t>
        </is>
      </c>
    </row>
    <row r="55">
      <c r="B55" s="24" t="inlineStr">
        <is>
          <t>EBIT</t>
        </is>
      </c>
      <c r="C55" t="inlineStr">
        <is>
          <t>Earnings Before Interest and Taxes = EBITDA - Ammortamenti</t>
        </is>
      </c>
    </row>
    <row r="56" ht="15.75" customHeight="1" s="133">
      <c r="B56" s="17" t="inlineStr">
        <is>
          <t>🧮 FORMULE PRINCIPALI (per capire i calcoli)</t>
        </is>
      </c>
    </row>
    <row r="57">
      <c r="B57" s="18" t="inlineStr">
        <is>
          <t>Metrica</t>
        </is>
      </c>
      <c r="C57" s="18" t="inlineStr">
        <is>
          <t>Formula</t>
        </is>
      </c>
    </row>
    <row r="58">
      <c r="B58" s="23" t="inlineStr">
        <is>
          <t>Boe Cumulative</t>
        </is>
      </c>
      <c r="C58" t="inlineStr">
        <is>
          <t>Somma progressiva boe nuove</t>
        </is>
      </c>
    </row>
    <row r="59">
      <c r="B59" s="23" t="inlineStr">
        <is>
          <t>Ormeggi/anno</t>
        </is>
      </c>
      <c r="C59" t="inlineStr">
        <is>
          <t>Boe Cumulative × Occupancy % × Giorni operativi</t>
        </is>
      </c>
    </row>
    <row r="60">
      <c r="B60" s="23" t="inlineStr">
        <is>
          <t>Ricavi</t>
        </is>
      </c>
      <c r="C60" t="inlineStr">
        <is>
          <t>Ormeggi/anno × Tariffa €</t>
        </is>
      </c>
    </row>
    <row r="61">
      <c r="B61" s="23" t="inlineStr">
        <is>
          <t>Costi Diretti</t>
        </is>
      </c>
      <c r="C61" t="inlineStr">
        <is>
          <t>Boe Nuove × Costo unitario boa × (1 - Sconto)</t>
        </is>
      </c>
    </row>
    <row r="62">
      <c r="B62" s="23" t="inlineStr">
        <is>
          <t>OPEX</t>
        </is>
      </c>
      <c r="C62" t="inlineStr">
        <is>
          <t>OPEX base × (1 + Crescita %)^anno</t>
        </is>
      </c>
    </row>
    <row r="63">
      <c r="B63" s="23" t="inlineStr">
        <is>
          <t>EBITDA</t>
        </is>
      </c>
      <c r="C63" t="inlineStr">
        <is>
          <t>Ricavi - Costi Diretti - OPEX</t>
        </is>
      </c>
    </row>
    <row r="64">
      <c r="B64" s="23" t="inlineStr">
        <is>
          <t>Margine %</t>
        </is>
      </c>
      <c r="C64" t="inlineStr">
        <is>
          <t>EBITDA / Ricavi × 100</t>
        </is>
      </c>
    </row>
    <row r="65">
      <c r="B65" s="23" t="inlineStr">
        <is>
          <t>Cash Flow</t>
        </is>
      </c>
      <c r="C65" t="inlineStr">
        <is>
          <t>EBITDA - CAPEX</t>
        </is>
      </c>
    </row>
    <row r="68" ht="15.75" customHeight="1" s="133">
      <c r="B68" s="25" t="inlineStr">
        <is>
          <t>⚠️ AVVERTENZE IMPORTANTI</t>
        </is>
      </c>
    </row>
    <row r="69">
      <c r="B69" t="inlineStr">
        <is>
          <t>❌</t>
        </is>
      </c>
      <c r="C69" s="26" t="inlineStr">
        <is>
          <t>NON modificare celle GIALLE (contengono formule)</t>
        </is>
      </c>
      <c r="D69" t="inlineStr">
        <is>
          <t>Si romperebbe il modello</t>
        </is>
      </c>
    </row>
    <row r="70">
      <c r="B70" t="inlineStr">
        <is>
          <t>✅</t>
        </is>
      </c>
      <c r="C70" t="inlineStr">
        <is>
          <t>Modifica SOLO celle GRIGIE nel foglio Assunzioni</t>
        </is>
      </c>
      <c r="D70" t="inlineStr">
        <is>
          <t>Tutto il resto si aggiorna</t>
        </is>
      </c>
    </row>
    <row r="71">
      <c r="B71" t="inlineStr">
        <is>
          <t>💾</t>
        </is>
      </c>
      <c r="C71" t="inlineStr">
        <is>
          <t>Salva una copia PRIMA di fare modifiche importanti</t>
        </is>
      </c>
      <c r="D71" t="inlineStr">
        <is>
          <t>Backup di sicurezza</t>
        </is>
      </c>
    </row>
    <row r="72">
      <c r="B72" t="inlineStr">
        <is>
          <t>🔄</t>
        </is>
      </c>
      <c r="C72" t="inlineStr">
        <is>
          <t>Se qualcosa si rompe, scarica di nuovo il file originale</t>
        </is>
      </c>
      <c r="D72" t="inlineStr">
        <is>
          <t>File sempre disponibile</t>
        </is>
      </c>
    </row>
    <row r="75" ht="15.75" customHeight="1" s="133">
      <c r="B75" s="17" t="inlineStr">
        <is>
          <t>📧 SUPPORTO E CONTATTI</t>
        </is>
      </c>
    </row>
    <row r="76">
      <c r="B76" s="23" t="inlineStr">
        <is>
          <t>Società:</t>
        </is>
      </c>
      <c r="C76" t="inlineStr">
        <is>
          <t>Seainnova S.r.l. - Start-up Innovativa</t>
        </is>
      </c>
    </row>
    <row r="77">
      <c r="B77" s="23" t="inlineStr">
        <is>
          <t>Progetto:</t>
        </is>
      </c>
      <c r="C77" t="inlineStr">
        <is>
          <t>Betty Buoys - Boe Ormeggio Intelligenti</t>
        </is>
      </c>
    </row>
    <row r="78">
      <c r="B78" s="23" t="inlineStr">
        <is>
          <t>CEO:</t>
        </is>
      </c>
      <c r="C78" t="inlineStr">
        <is>
          <t>Luca Rovere</t>
        </is>
      </c>
    </row>
    <row r="79">
      <c r="B79" s="23" t="inlineStr">
        <is>
          <t>Email:</t>
        </is>
      </c>
      <c r="C79" t="inlineStr">
        <is>
          <t>luca.rovere@seainnova.com</t>
        </is>
      </c>
    </row>
    <row r="80">
      <c r="B80" s="23" t="inlineStr">
        <is>
          <t>Telefono:</t>
        </is>
      </c>
      <c r="C80" t="inlineStr">
        <is>
          <t>+39 338 804 5513</t>
        </is>
      </c>
    </row>
    <row r="81">
      <c r="B81" s="23" t="inlineStr">
        <is>
          <t>Sede:</t>
        </is>
      </c>
      <c r="C81" t="inlineStr">
        <is>
          <t>La Maddalena (SS), Sardegna</t>
        </is>
      </c>
    </row>
    <row r="84">
      <c r="B84" s="27" t="inlineStr">
        <is>
          <t>Documento generato il: 30 Dicembre 2025</t>
        </is>
      </c>
    </row>
    <row r="85">
      <c r="B85" s="27" t="inlineStr">
        <is>
          <t>Versione: 1.0 - Business Plan Betty Buoys 2027-2032</t>
        </is>
      </c>
    </row>
    <row r="87" ht="15.75" customHeight="1" s="133">
      <c r="B87" s="25" t="inlineStr">
        <is>
          <t>⚠️ AGGIORNAMENTO IMPORTANTE</t>
        </is>
      </c>
    </row>
    <row r="88">
      <c r="B88" s="28" t="inlineStr">
        <is>
          <t>✅ Dati aggiornati con Financial Model 2022 (valori realistici)</t>
        </is>
      </c>
    </row>
    <row r="89">
      <c r="B89" s="28" t="inlineStr">
        <is>
          <t>📊 Costo boa: 12.000€ - Hardware + struttura + installazione</t>
        </is>
      </c>
    </row>
    <row r="90">
      <c r="B90" s="28" t="inlineStr">
        <is>
          <t>💰 OPEX base: 70.000€/anno - Personale + APP + logistica + utilities</t>
        </is>
      </c>
    </row>
    <row r="91">
      <c r="B91" s="28" t="inlineStr">
        <is>
          <t>🔄 Costi ricorrenti: 1.550€/boa/anno - Manutenzione, assicurazione, SIM, posa</t>
        </is>
      </c>
    </row>
    <row r="92">
      <c r="B92" s="28" t="inlineStr">
        <is>
          <t>🏗️ CAPEX iniziale 6 anni: 235.000€ totali (R&amp;D, gommoni, furgone, attrezzatura)</t>
        </is>
      </c>
    </row>
    <row r="94">
      <c r="B94" s="27" t="inlineStr">
        <is>
          <t>Versione: 3.0 - Tier 2: Sconto rimosso, PNRR riallineato, ZES esplicitato</t>
        </is>
      </c>
    </row>
    <row r="95">
      <c r="B95" s="29" t="inlineStr">
        <is>
          <t>📊 CAPEX boe ora a listino pieno 12.000€ (sconto volume azzerato per prudenza)</t>
        </is>
      </c>
    </row>
    <row r="96">
      <c r="B96" s="27" t="inlineStr">
        <is>
          <t>💰 PNRR fondo perduto 200k€ (su 250k ammissibili 2027)</t>
        </is>
      </c>
    </row>
    <row r="97">
      <c r="B97" t="inlineStr">
        <is>
          <t>🏛️ ZES Sardegna 256k cap (credito imposta in compensazione 2028)</t>
        </is>
      </c>
    </row>
    <row r="98">
      <c r="B98" s="27" t="inlineStr">
        <is>
          <t>Versione: 2.2 - Aggiunta colonna Cash Flow Operativo</t>
        </is>
      </c>
    </row>
    <row r="100">
      <c r="B100" s="27" t="inlineStr">
        <is>
          <t>Versione: 2.3 - Aggiunta Ammortamenti e EBIT (5 anni)</t>
        </is>
      </c>
    </row>
  </sheetData>
  <mergeCells count="2">
    <mergeCell ref="B3:E3"/>
    <mergeCell ref="B2:E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B2:J142"/>
  <sheetViews>
    <sheetView topLeftCell="A126" zoomScale="125" zoomScaleNormal="125" workbookViewId="0">
      <selection activeCell="B10" sqref="B10"/>
    </sheetView>
  </sheetViews>
  <sheetFormatPr baseColWidth="10" defaultColWidth="8.83203125" defaultRowHeight="15"/>
  <cols>
    <col width="46.5" customWidth="1" style="133" min="2" max="2"/>
    <col width="16.1640625" customWidth="1" style="133" min="3" max="3"/>
    <col width="29.5" customWidth="1" style="133" min="4" max="4"/>
    <col width="43.83203125" customWidth="1" style="133" min="5" max="5"/>
    <col width="12" customWidth="1" style="133" min="6" max="9"/>
  </cols>
  <sheetData>
    <row r="1" customFormat="1" s="30"/>
    <row r="2" ht="18.75" customFormat="1" customHeight="1" s="30">
      <c r="B2" s="138" t="inlineStr">
        <is>
          <t>⚙️ PARAMETRI E ASSUNZIONI - Seainnova</t>
        </is>
      </c>
      <c r="C2" s="136" t="n"/>
      <c r="D2" s="136" t="n"/>
      <c r="E2" s="137" t="n"/>
    </row>
    <row r="3" customFormat="1" s="30">
      <c r="B3" s="135" t="inlineStr">
        <is>
          <t>Modifica questi valori per aggiornare tutto il Business Plan</t>
        </is>
      </c>
      <c r="C3" s="136" t="n"/>
      <c r="D3" s="136" t="n"/>
      <c r="E3" s="137" t="n"/>
    </row>
    <row r="4" customFormat="1" s="30">
      <c r="B4" s="168" t="inlineStr">
        <is>
          <t>🟡 LEGENDA RISCHI: i banner gialli evidenziano ipotesi soggette a verifica esterna (bandi, istruttorie, trattative fornitori). Numeri indicativi, non garantiti.</t>
        </is>
      </c>
      <c r="C4" s="169" t="n"/>
      <c r="D4" s="169" t="n"/>
      <c r="E4" s="169" t="n"/>
      <c r="F4" s="169" t="n"/>
      <c r="G4" s="169" t="n"/>
      <c r="H4" s="169" t="n"/>
      <c r="I4" s="169" t="n"/>
      <c r="J4" s="170" t="n"/>
    </row>
    <row r="5" customFormat="1" s="30"/>
    <row r="6" customFormat="1" s="30">
      <c r="B6" s="138" t="inlineStr">
        <is>
          <t>📍 DEPLOYMENT BOE (EDITABILE)</t>
        </is>
      </c>
    </row>
    <row r="7" customFormat="1" s="30">
      <c r="B7" s="31" t="inlineStr">
        <is>
          <t>Anno</t>
        </is>
      </c>
      <c r="C7" s="31" t="inlineStr">
        <is>
          <t>Boe Nuove</t>
        </is>
      </c>
      <c r="D7" s="31" t="inlineStr">
        <is>
          <t>Note</t>
        </is>
      </c>
    </row>
    <row r="8" customFormat="1" s="30">
      <c r="B8" s="30" t="n">
        <v>2027</v>
      </c>
      <c r="C8" s="32" t="n">
        <v>15</v>
      </c>
      <c r="D8" s="30" t="inlineStr">
        <is>
          <t>Pilot - validazione</t>
        </is>
      </c>
    </row>
    <row r="9" customFormat="1" s="30">
      <c r="B9" s="30" t="n">
        <v>2028</v>
      </c>
      <c r="C9" s="32" t="n">
        <v>60</v>
      </c>
      <c r="D9" s="30" t="inlineStr">
        <is>
          <t>Prima espansione</t>
        </is>
      </c>
    </row>
    <row r="10" customFormat="1" s="30">
      <c r="B10" s="30" t="n">
        <v>2029</v>
      </c>
      <c r="C10" s="32" t="n">
        <v>100</v>
      </c>
      <c r="D10" s="30" t="inlineStr">
        <is>
          <t>Scalata</t>
        </is>
      </c>
    </row>
    <row r="11" customFormat="1" s="30">
      <c r="B11" s="30" t="n">
        <v>2030</v>
      </c>
      <c r="C11" s="32" t="n">
        <v>140</v>
      </c>
      <c r="D11" s="30" t="inlineStr">
        <is>
          <t>Consolidamento</t>
        </is>
      </c>
    </row>
    <row r="12" customFormat="1" s="30">
      <c r="B12" s="30" t="n">
        <v>2031</v>
      </c>
      <c r="C12" s="32" t="n">
        <v>180</v>
      </c>
      <c r="D12" s="30" t="inlineStr">
        <is>
          <t>Espansione massiva</t>
        </is>
      </c>
    </row>
    <row r="13" customFormat="1" s="30">
      <c r="B13" s="30" t="n">
        <v>2032</v>
      </c>
      <c r="C13" s="32" t="n">
        <v>220</v>
      </c>
      <c r="D13" s="30" t="inlineStr">
        <is>
          <t>Completamento</t>
        </is>
      </c>
    </row>
    <row r="14" customFormat="1" s="30"/>
    <row r="15" customFormat="1" s="30">
      <c r="B15" s="138" t="inlineStr">
        <is>
          <t>💰 PREZZI E OCCUPANCY (EDITABILE)</t>
        </is>
      </c>
    </row>
    <row r="16" customFormat="1" s="30">
      <c r="B16" s="31" t="inlineStr">
        <is>
          <t>Anno</t>
        </is>
      </c>
      <c r="C16" s="31" t="inlineStr">
        <is>
          <t>Tariffa €/uso</t>
        </is>
      </c>
      <c r="D16" s="31" t="inlineStr">
        <is>
          <t>Occupancy %</t>
        </is>
      </c>
      <c r="E16" s="31" t="inlineStr">
        <is>
          <t>Giorni op./anno</t>
        </is>
      </c>
    </row>
    <row r="17" customFormat="1" s="30">
      <c r="B17" s="30" t="n">
        <v>2027</v>
      </c>
      <c r="C17" s="32" t="n">
        <v>92</v>
      </c>
      <c r="D17" s="33" t="n">
        <v>60</v>
      </c>
      <c r="E17" s="32" t="n">
        <v>150</v>
      </c>
    </row>
    <row r="18" customFormat="1" s="30">
      <c r="B18" s="30" t="n">
        <v>2028</v>
      </c>
      <c r="C18" s="32" t="n">
        <v>60</v>
      </c>
      <c r="D18" s="33" t="n">
        <v>80</v>
      </c>
      <c r="E18" s="32" t="n">
        <v>180</v>
      </c>
    </row>
    <row r="19" customFormat="1" s="30">
      <c r="B19" s="30" t="n">
        <v>2029</v>
      </c>
      <c r="C19" s="32" t="n">
        <v>52</v>
      </c>
      <c r="D19" s="33" t="n">
        <v>90</v>
      </c>
      <c r="E19" s="32" t="n">
        <v>180</v>
      </c>
    </row>
    <row r="20" customFormat="1" s="30">
      <c r="B20" s="30" t="n">
        <v>2030</v>
      </c>
      <c r="C20" s="32" t="n">
        <v>50</v>
      </c>
      <c r="D20" s="33" t="n">
        <v>95</v>
      </c>
      <c r="E20" s="32" t="n">
        <v>180</v>
      </c>
    </row>
    <row r="21" customFormat="1" s="30">
      <c r="B21" s="30" t="n">
        <v>2031</v>
      </c>
      <c r="C21" s="32" t="n">
        <v>50</v>
      </c>
      <c r="D21" s="33" t="n">
        <v>95</v>
      </c>
      <c r="E21" s="32" t="n">
        <v>180</v>
      </c>
    </row>
    <row r="22" customFormat="1" s="30">
      <c r="B22" s="30" t="n">
        <v>2032</v>
      </c>
      <c r="C22" s="32" t="n">
        <v>50</v>
      </c>
      <c r="D22" s="33" t="n">
        <v>95</v>
      </c>
      <c r="E22" s="32" t="n">
        <v>180</v>
      </c>
    </row>
    <row r="23" customFormat="1" s="30"/>
    <row r="24" customFormat="1" s="30">
      <c r="B24" s="138" t="inlineStr">
        <is>
          <t>💸 COSTI UNITARI (EDITABILE)</t>
        </is>
      </c>
    </row>
    <row r="25" customFormat="1" s="30">
      <c r="B25" s="34" t="inlineStr">
        <is>
          <t>Voce</t>
        </is>
      </c>
      <c r="C25" s="34" t="inlineStr">
        <is>
          <t>Valore</t>
        </is>
      </c>
      <c r="D25" s="34" t="inlineStr">
        <is>
          <t>Unità</t>
        </is>
      </c>
      <c r="E25" s="34" t="inlineStr">
        <is>
          <t>Note</t>
        </is>
      </c>
    </row>
    <row r="26" customFormat="1" s="30">
      <c r="B26" s="30" t="inlineStr">
        <is>
          <t>Costo boa completa</t>
        </is>
      </c>
      <c r="C26" s="32" t="n">
        <v>12000</v>
      </c>
      <c r="D26" s="30" t="inlineStr">
        <is>
          <t>€/boa</t>
        </is>
      </c>
      <c r="E26" s="30" t="inlineStr">
        <is>
          <t>Costo a listino pieno (sconto volume azzerato in v3.0)</t>
        </is>
      </c>
    </row>
    <row r="27" customFormat="1" s="30">
      <c r="B27" s="30" t="inlineStr">
        <is>
          <t>OPEX base anno 1</t>
        </is>
      </c>
      <c r="C27" s="32" t="n">
        <v>70000</v>
      </c>
      <c r="D27" s="30" t="inlineStr">
        <is>
          <t>€/anno</t>
        </is>
      </c>
      <c r="E27" s="30" t="inlineStr">
        <is>
          <t>Personale + APP + logistica + utilities (dettaglio PDF 2022)</t>
        </is>
      </c>
    </row>
    <row r="28" customFormat="1" s="30">
      <c r="B28" s="30" t="inlineStr">
        <is>
          <t>Crescita OPEX annua</t>
        </is>
      </c>
      <c r="C28" s="33" t="n">
        <v>5</v>
      </c>
      <c r="D28" s="30" t="inlineStr">
        <is>
          <t>%</t>
        </is>
      </c>
      <c r="E28" s="30" t="inlineStr">
        <is>
          <t>Incremento costi operativi</t>
        </is>
      </c>
    </row>
    <row r="29" customFormat="1" s="30">
      <c r="B29" s="30" t="inlineStr">
        <is>
          <t>CAPEX base anno</t>
        </is>
      </c>
      <c r="C29" s="32" t="n">
        <v>50000</v>
      </c>
      <c r="D29" s="30" t="inlineStr">
        <is>
          <t>€</t>
        </is>
      </c>
      <c r="E29" s="30" t="inlineStr">
        <is>
          <t>Investimenti fissi annui</t>
        </is>
      </c>
    </row>
    <row r="30" customFormat="1" s="30">
      <c r="B30" s="30" t="inlineStr">
        <is>
          <t>CAPEX per boa nuova</t>
        </is>
      </c>
      <c r="C30" s="32" t="n">
        <v>0</v>
      </c>
      <c r="D30" s="30" t="inlineStr">
        <is>
          <t>€/boa</t>
        </is>
      </c>
      <c r="E30" s="30" t="inlineStr">
        <is>
          <t>Costo aggiuntivo per ogni boa</t>
        </is>
      </c>
    </row>
    <row r="31" customFormat="1" s="30"/>
    <row r="32" customFormat="1" s="30">
      <c r="B32" s="138" t="inlineStr">
        <is>
          <t>🎁 INCENTIVI FISCALI (EDITABILE)</t>
        </is>
      </c>
    </row>
    <row r="33" customFormat="1" s="30">
      <c r="B33" s="34" t="inlineStr">
        <is>
          <t>Incentivo</t>
        </is>
      </c>
      <c r="C33" s="34" t="inlineStr">
        <is>
          <t>Percentuale %</t>
        </is>
      </c>
      <c r="D33" s="34" t="inlineStr">
        <is>
          <t>Note</t>
        </is>
      </c>
    </row>
    <row r="34" customFormat="1" s="30">
      <c r="B34" s="30" t="inlineStr">
        <is>
          <t>PNRR copertura</t>
        </is>
      </c>
      <c r="C34" s="33" t="n">
        <v>80</v>
      </c>
      <c r="D34" s="30" t="inlineStr">
        <is>
          <t>Copertura costi investimento</t>
        </is>
      </c>
    </row>
    <row r="35" customFormat="1" s="30">
      <c r="B35" s="30" t="inlineStr">
        <is>
          <t>ZES credito imposta</t>
        </is>
      </c>
      <c r="C35" s="33" t="n">
        <v>70</v>
      </c>
      <c r="D35" s="30" t="inlineStr">
        <is>
          <t>Credito fiscale Sardegna</t>
        </is>
      </c>
    </row>
    <row r="36" customFormat="1" s="30">
      <c r="B36" s="30" t="inlineStr">
        <is>
          <t>Sconto applicato costi</t>
        </is>
      </c>
      <c r="C36" s="33" t="n">
        <v>0</v>
      </c>
      <c r="D36" s="30" t="inlineStr">
        <is>
          <t>Sconto rimosso (prudenza valutativa) - vedi v3.0</t>
        </is>
      </c>
    </row>
    <row r="37" customFormat="1" s="30"/>
    <row r="38" customFormat="1" s="30">
      <c r="B38" s="168" t="inlineStr">
        <is>
          <t>ℹ️ NOTA SCONTO BOE — In v3.0 azzerato (prudenza valutativa)</t>
        </is>
      </c>
      <c r="C38" s="169" t="n"/>
      <c r="D38" s="169" t="n"/>
      <c r="E38" s="169" t="n"/>
      <c r="F38" s="170" t="n"/>
    </row>
    <row r="39" customFormat="1" s="30">
      <c r="B39" s="171" t="inlineStr">
        <is>
          <t>Costo boa fissato a listino pieno 12.000€. Eventuale sconto volume può essere reintrodotto in cella C36 (es. 15-20%) solo dopo trattativa formalizzata con fornitore primario. Effetto: ogni 10 punti di sconto ≈ -858k€ di CAPEX boe sui 6 anni.</t>
        </is>
      </c>
      <c r="C39" s="169" t="n"/>
      <c r="D39" s="169" t="n"/>
      <c r="E39" s="169" t="n"/>
      <c r="F39" s="170" t="n"/>
    </row>
    <row r="40" customFormat="1" s="30">
      <c r="B40" s="138" t="inlineStr">
        <is>
          <t>💸 COSTI RICORRENTI PER BOA (EDITABILE)</t>
        </is>
      </c>
    </row>
    <row r="41" customFormat="1" s="30">
      <c r="B41" s="34" t="inlineStr">
        <is>
          <t>Voce</t>
        </is>
      </c>
      <c r="C41" s="34" t="inlineStr">
        <is>
          <t>Valore</t>
        </is>
      </c>
      <c r="D41" s="34" t="inlineStr">
        <is>
          <t>Unità</t>
        </is>
      </c>
      <c r="E41" s="34" t="inlineStr">
        <is>
          <t>Note</t>
        </is>
      </c>
    </row>
    <row r="42" customFormat="1" s="30">
      <c r="B42" s="30" t="inlineStr">
        <is>
          <t>Ricambi garanzia</t>
        </is>
      </c>
      <c r="C42" s="35" t="n">
        <v>312</v>
      </c>
      <c r="D42" s="30" t="inlineStr">
        <is>
          <t>€/boa/anno</t>
        </is>
      </c>
      <c r="E42" s="30" t="inlineStr">
        <is>
          <t>Manutenzione preventiva</t>
        </is>
      </c>
    </row>
    <row r="43" customFormat="1" s="30">
      <c r="B43" s="30" t="inlineStr">
        <is>
          <t>Assicurazione</t>
        </is>
      </c>
      <c r="C43" s="35" t="n">
        <v>65</v>
      </c>
      <c r="D43" s="30" t="inlineStr">
        <is>
          <t>€/boa/anno</t>
        </is>
      </c>
      <c r="E43" s="30" t="inlineStr">
        <is>
          <t>Copertura RC e danni</t>
        </is>
      </c>
    </row>
    <row r="44" customFormat="1" s="30">
      <c r="B44" s="30" t="inlineStr">
        <is>
          <t>SIM dati</t>
        </is>
      </c>
      <c r="C44" s="35" t="n">
        <v>48</v>
      </c>
      <c r="D44" s="30" t="inlineStr">
        <is>
          <t>€/boa/anno</t>
        </is>
      </c>
      <c r="E44" s="30" t="inlineStr">
        <is>
          <t>4€/mese × 12 mesi</t>
        </is>
      </c>
    </row>
    <row r="45" customFormat="1" s="30">
      <c r="B45" s="30" t="inlineStr">
        <is>
          <t>Posa/smontaggio stagionale</t>
        </is>
      </c>
      <c r="C45" s="35" t="n">
        <v>1125</v>
      </c>
      <c r="D45" s="30" t="inlineStr">
        <is>
          <t>€/boa/anno</t>
        </is>
      </c>
      <c r="E45" s="30" t="inlineStr">
        <is>
          <t>Installazione inizio/fine stagione</t>
        </is>
      </c>
    </row>
    <row r="46" customFormat="1" s="30">
      <c r="B46" s="30" t="inlineStr">
        <is>
          <t>TOTALE per boa/anno</t>
        </is>
      </c>
      <c r="C46" s="36">
        <f>SUM(C42:C45)</f>
        <v/>
      </c>
      <c r="D46" s="30" t="inlineStr">
        <is>
          <t>€/boa/anno</t>
        </is>
      </c>
      <c r="E46" s="30" t="inlineStr">
        <is>
          <t>Moltiplicare per numero boe cumulative</t>
        </is>
      </c>
    </row>
    <row r="47" customFormat="1" s="30"/>
    <row r="48" customFormat="1" s="30"/>
    <row r="49" customFormat="1" s="30">
      <c r="B49" s="138" t="inlineStr">
        <is>
          <t>🏗️ CAPEX INIZIALE PER ANNO (EDITABILE)</t>
        </is>
      </c>
    </row>
    <row r="50" customFormat="1" s="30">
      <c r="B50" s="31" t="inlineStr">
        <is>
          <t>Anno</t>
        </is>
      </c>
      <c r="C50" s="31" t="inlineStr">
        <is>
          <t>R&amp;D</t>
        </is>
      </c>
      <c r="D50" s="31" t="inlineStr">
        <is>
          <t>Gommoni</t>
        </is>
      </c>
      <c r="E50" s="31" t="inlineStr">
        <is>
          <t>Furgone</t>
        </is>
      </c>
      <c r="F50" s="31" t="inlineStr">
        <is>
          <t>Attrezzatura</t>
        </is>
      </c>
      <c r="G50" s="31" t="inlineStr">
        <is>
          <t>Altro</t>
        </is>
      </c>
      <c r="H50" s="31" t="inlineStr">
        <is>
          <t>TOTALE</t>
        </is>
      </c>
    </row>
    <row r="51" customFormat="1" s="30">
      <c r="B51" s="30" t="n">
        <v>2027</v>
      </c>
      <c r="C51" s="37" t="n">
        <v>20000</v>
      </c>
      <c r="D51" s="37" t="n">
        <v>30000</v>
      </c>
      <c r="E51" s="37" t="n">
        <v>15000</v>
      </c>
      <c r="F51" s="37" t="n">
        <v>10000</v>
      </c>
      <c r="G51" s="37" t="n">
        <v>0</v>
      </c>
      <c r="H51" s="38">
        <f>SUM(C51:G51)</f>
        <v/>
      </c>
    </row>
    <row r="52" customFormat="1" s="30">
      <c r="B52" s="30" t="n">
        <v>2028</v>
      </c>
      <c r="C52" s="37" t="n">
        <v>30000</v>
      </c>
      <c r="D52" s="37" t="n">
        <v>30000</v>
      </c>
      <c r="E52" s="37" t="n">
        <v>0</v>
      </c>
      <c r="F52" s="37" t="n">
        <v>5000</v>
      </c>
      <c r="G52" s="37" t="n">
        <v>0</v>
      </c>
      <c r="H52" s="38">
        <f>SUM(C52:G52)</f>
        <v/>
      </c>
    </row>
    <row r="53" customFormat="1" s="30">
      <c r="B53" s="30" t="n">
        <v>2029</v>
      </c>
      <c r="C53" s="37" t="n">
        <v>0</v>
      </c>
      <c r="D53" s="37" t="n">
        <v>0</v>
      </c>
      <c r="E53" s="37" t="n">
        <v>0</v>
      </c>
      <c r="F53" s="37" t="n">
        <v>5000</v>
      </c>
      <c r="G53" s="37" t="n">
        <v>0</v>
      </c>
      <c r="H53" s="38">
        <f>SUM(C53:G53)</f>
        <v/>
      </c>
    </row>
    <row r="54" customFormat="1" s="30">
      <c r="B54" s="30" t="n">
        <v>2030</v>
      </c>
      <c r="C54" s="37" t="n">
        <v>0</v>
      </c>
      <c r="D54" s="37" t="n">
        <v>30000</v>
      </c>
      <c r="E54" s="37" t="n">
        <v>15000</v>
      </c>
      <c r="F54" s="37" t="n">
        <v>5000</v>
      </c>
      <c r="G54" s="37" t="n">
        <v>0</v>
      </c>
      <c r="H54" s="38">
        <f>SUM(C54:G54)</f>
        <v/>
      </c>
    </row>
    <row r="55" customFormat="1" s="30">
      <c r="B55" s="30" t="n">
        <v>2031</v>
      </c>
      <c r="C55" s="39" t="n">
        <v>0</v>
      </c>
      <c r="D55" s="37" t="n">
        <v>0</v>
      </c>
      <c r="E55" s="37" t="n">
        <v>0</v>
      </c>
      <c r="F55" s="37" t="n">
        <v>5000</v>
      </c>
      <c r="G55" s="37" t="n">
        <v>0</v>
      </c>
      <c r="H55" s="38">
        <f>SUM(C55:G55)</f>
        <v/>
      </c>
    </row>
    <row r="56" customFormat="1" s="30">
      <c r="B56" s="30" t="n">
        <v>2032</v>
      </c>
      <c r="C56" s="37" t="n">
        <v>0</v>
      </c>
      <c r="D56" s="37" t="n">
        <v>30000</v>
      </c>
      <c r="E56" s="37" t="n">
        <v>0</v>
      </c>
      <c r="F56" s="37" t="n">
        <v>5000</v>
      </c>
      <c r="G56" s="37" t="n">
        <v>0</v>
      </c>
      <c r="H56" s="38">
        <f>SUM(C56:G56)</f>
        <v/>
      </c>
    </row>
    <row r="57" customFormat="1" s="30">
      <c r="B57" s="40" t="inlineStr">
        <is>
          <t>TOTALE 6 ANNI</t>
        </is>
      </c>
      <c r="C57" s="41">
        <f>SUM(C51:C56)</f>
        <v/>
      </c>
      <c r="D57" s="41">
        <f>SUM(D51:D56)</f>
        <v/>
      </c>
      <c r="E57" s="41">
        <f>SUM(E51:E56)</f>
        <v/>
      </c>
      <c r="F57" s="41">
        <f>SUM(F51:F56)</f>
        <v/>
      </c>
      <c r="G57" s="41">
        <f>SUM(G51:G56)</f>
        <v/>
      </c>
      <c r="H57" s="41">
        <f>SUM(H51:H56)</f>
        <v/>
      </c>
    </row>
    <row r="58" customFormat="1" s="30">
      <c r="B58" s="138" t="n"/>
    </row>
    <row r="59" customFormat="1" s="30">
      <c r="B59" s="42" t="inlineStr">
        <is>
          <t>💡 Note:</t>
        </is>
      </c>
      <c r="C59" s="34" t="n"/>
      <c r="E59" s="34" t="n"/>
    </row>
    <row r="60" customFormat="1" s="30">
      <c r="B60" s="30" t="inlineStr">
        <is>
          <t>• Modifica i valori nelle celle GRIGIE per ogni anno</t>
        </is>
      </c>
      <c r="C60" s="43" t="n"/>
    </row>
    <row r="61" customFormat="1" s="30">
      <c r="B61" s="30" t="inlineStr">
        <is>
          <t>• Il TOTALE anno si calcola automaticamente (colonna H)</t>
        </is>
      </c>
      <c r="C61" s="43" t="n"/>
    </row>
    <row r="62" customFormat="1" s="30">
      <c r="B62" s="30" t="inlineStr">
        <is>
          <t>• Le formule CAPEX nel BP si aggiornano automaticamente</t>
        </is>
      </c>
      <c r="C62" s="43" t="n"/>
    </row>
    <row r="63" customFormat="1" s="30">
      <c r="C63" s="43" t="n"/>
    </row>
    <row r="64" customFormat="1" s="30">
      <c r="B64" s="30" t="inlineStr">
        <is>
          <t>Noleggi</t>
        </is>
      </c>
      <c r="C64" s="43" t="n">
        <v>3000</v>
      </c>
      <c r="E64" s="30" t="inlineStr">
        <is>
          <t>Muletti, attrezzature</t>
        </is>
      </c>
    </row>
    <row r="65" ht="18.75" customFormat="1" customHeight="1" s="30">
      <c r="B65" s="138" t="inlineStr">
        <is>
          <t>💰 FINANZA AGEVOLATA E CONTRIBUTI (EDITABILE)</t>
        </is>
      </c>
      <c r="C65" s="136" t="n"/>
      <c r="D65" s="136" t="n"/>
      <c r="E65" s="136" t="n"/>
      <c r="F65" s="136" t="n"/>
      <c r="G65" s="136" t="n"/>
      <c r="H65" s="137" t="n"/>
    </row>
    <row r="66" customFormat="1" s="30">
      <c r="B66" s="135" t="inlineStr">
        <is>
          <t>Inserisci qui i contributi a fondo perduto e finanziamenti agevolati disponibili</t>
        </is>
      </c>
      <c r="C66" s="136" t="n"/>
      <c r="D66" s="136" t="n"/>
      <c r="E66" s="136" t="n"/>
      <c r="F66" s="136" t="n"/>
      <c r="G66" s="136" t="n"/>
      <c r="H66" s="137" t="n"/>
    </row>
    <row r="67" customFormat="1" s="30">
      <c r="B67" s="168" t="inlineStr">
        <is>
          <t>⚠️ ATTENZIONE PNRR — Rischio rendicontazione</t>
        </is>
      </c>
      <c r="C67" s="169" t="n"/>
      <c r="D67" s="169" t="n"/>
      <c r="E67" s="169" t="n"/>
      <c r="F67" s="169" t="n"/>
      <c r="G67" s="170" t="n"/>
    </row>
    <row r="68" ht="15.75" customFormat="1" customHeight="1" s="30">
      <c r="B68" s="138" t="inlineStr">
        <is>
          <t>🇪🇺 PNRR - RICERCA E SVILUPPO</t>
        </is>
      </c>
    </row>
    <row r="69" customFormat="1" s="30">
      <c r="C69" s="34" t="inlineStr">
        <is>
          <t>Parametro</t>
        </is>
      </c>
      <c r="D69" s="34" t="inlineStr">
        <is>
          <t>Valore</t>
        </is>
      </c>
      <c r="E69" s="34" t="inlineStr">
        <is>
          <t>Note</t>
        </is>
      </c>
    </row>
    <row r="70" customFormat="1" s="30">
      <c r="B70" s="30" t="inlineStr">
        <is>
          <t>Investimento totale ammissibile</t>
        </is>
      </c>
      <c r="C70" s="35" t="n">
        <v>250000</v>
      </c>
      <c r="D70" s="30" t="inlineStr">
        <is>
          <t>Spese R&amp;D + Sperimentazione 2027 (riallineato v3.0)</t>
        </is>
      </c>
      <c r="E70" s="166" t="inlineStr">
        <is>
          <t>Dettaglio: R&amp;D iscritto 2027 (~20k) + CAPEX iniziale 2027 (~75k) + personale R&amp;D/consulenze/prototipazione (~155k) ≈ 250k</t>
        </is>
      </c>
    </row>
    <row r="71" customFormat="1" s="30">
      <c r="B71" s="30" t="inlineStr">
        <is>
          <t>% Fondo perduto</t>
        </is>
      </c>
      <c r="C71" s="44" t="n">
        <v>80</v>
      </c>
      <c r="D71" s="30" t="inlineStr">
        <is>
          <t>Contributo a fondo perduto</t>
        </is>
      </c>
    </row>
    <row r="72" customFormat="1" s="30">
      <c r="B72" s="30" t="inlineStr">
        <is>
          <t>% Finanziamento agevolato</t>
        </is>
      </c>
      <c r="C72" s="44" t="n">
        <v>0</v>
      </c>
      <c r="D72" s="30" t="inlineStr">
        <is>
          <t>Finanziamento con interessi agevolati</t>
        </is>
      </c>
    </row>
    <row r="73" customFormat="1" s="30">
      <c r="B73" s="45" t="inlineStr">
        <is>
          <t>Importo fondo perduto</t>
        </is>
      </c>
      <c r="C73" s="46">
        <f>C70*C71/100</f>
        <v/>
      </c>
      <c r="D73" s="30" t="inlineStr">
        <is>
          <t>Calcolato automaticamente</t>
        </is>
      </c>
    </row>
    <row r="74" customFormat="1" s="30">
      <c r="B74" s="45" t="inlineStr">
        <is>
          <t>Importo finanziamento agevolato</t>
        </is>
      </c>
      <c r="C74" s="46">
        <f>C70*C72/100</f>
        <v/>
      </c>
      <c r="D74" s="30" t="inlineStr">
        <is>
          <t>Calcolato automaticamente</t>
        </is>
      </c>
    </row>
    <row r="75" customFormat="1" s="30">
      <c r="B75" s="30" t="inlineStr">
        <is>
          <t>Anno erogazione</t>
        </is>
      </c>
      <c r="C75" s="30" t="n">
        <v>2027</v>
      </c>
      <c r="D75" s="30" t="inlineStr">
        <is>
          <t>Anno di incasso del contributo</t>
        </is>
      </c>
    </row>
    <row r="76" customFormat="1" s="30"/>
    <row r="77" ht="15.75" customFormat="1" customHeight="1" s="30">
      <c r="B77" s="45" t="inlineStr">
        <is>
          <t>💰 TOTALE CONTRIBUTI PNRR 2027</t>
        </is>
      </c>
      <c r="C77" s="47">
        <f>C73</f>
        <v/>
      </c>
    </row>
    <row r="78" customFormat="1" s="30">
      <c r="B78" s="171" t="inlineStr">
        <is>
          <t>Verificare: (1) bando PNRR attivo e compatibile al momento della domanda; (2) ammissibilità delle voci di spesa; (3) corrispondenza con scritture contabili. Il mancato riscontro a libro comporta REVOCA del contributo con interessi.</t>
        </is>
      </c>
      <c r="C78" s="169" t="n"/>
      <c r="D78" s="169" t="n"/>
      <c r="E78" s="169" t="n"/>
      <c r="F78" s="169" t="n"/>
      <c r="G78" s="170" t="n"/>
    </row>
    <row r="79" customFormat="1" s="30">
      <c r="B79" s="168" t="inlineStr">
        <is>
          <t>⚠️ ATTENZIONE ZES — Credito imposta in compensazione (NON cassa diretta)</t>
        </is>
      </c>
      <c r="C79" s="169" t="n"/>
      <c r="D79" s="169" t="n"/>
      <c r="E79" s="169" t="n"/>
      <c r="F79" s="169" t="n"/>
      <c r="G79" s="170" t="n"/>
    </row>
    <row r="80" ht="15.75" customFormat="1" customHeight="1" s="30">
      <c r="B80" s="138" t="inlineStr">
        <is>
          <t>🎁 ALTRI INCENTIVI DISPONIBILI</t>
        </is>
      </c>
    </row>
    <row r="81" customFormat="1" s="30">
      <c r="C81" s="34" t="inlineStr">
        <is>
          <t>Incentivo</t>
        </is>
      </c>
      <c r="D81" s="34" t="inlineStr">
        <is>
          <t>Anno</t>
        </is>
      </c>
      <c r="E81" s="34" t="inlineStr">
        <is>
          <t>Importo €</t>
        </is>
      </c>
      <c r="F81" s="34" t="inlineStr">
        <is>
          <t>Note</t>
        </is>
      </c>
    </row>
    <row r="82" customFormat="1" s="30">
      <c r="B82" s="30" t="inlineStr">
        <is>
          <t>ZES Sardegna (credito imposta)</t>
        </is>
      </c>
      <c r="C82" s="35" t="n">
        <v>2028</v>
      </c>
      <c r="D82" s="37">
        <f>MIN(C35/100*'BP_Seainnova 2027_2032'!I7,256074)</f>
        <v/>
      </c>
      <c r="E82" s="167" t="inlineStr">
        <is>
          <t>Cap di prudenza 256k (in attesa di istruttoria). Massimo teorico = 70% × CAPEX boe 2028. ⚠️ Credito imposta in compensazione, NON cassa diretta</t>
        </is>
      </c>
    </row>
    <row r="83" customFormat="1" s="30">
      <c r="B83" s="30" t="inlineStr">
        <is>
          <t>Bando Blue Economy</t>
        </is>
      </c>
      <c r="C83" s="35" t="n">
        <v>2028</v>
      </c>
      <c r="D83" s="37" t="n">
        <v>300</v>
      </c>
      <c r="E83" s="30" t="inlineStr">
        <is>
          <t>Fondi UE economia del mare</t>
        </is>
      </c>
    </row>
    <row r="84" customFormat="1" s="30">
      <c r="B84" s="30" t="inlineStr">
        <is>
          <t>Voucher Innovation Manager</t>
        </is>
      </c>
      <c r="C84" s="35" t="n">
        <v>2027</v>
      </c>
      <c r="D84" s="37" t="n">
        <v>0</v>
      </c>
      <c r="E84" s="30" t="inlineStr">
        <is>
          <t>Max 40k€ per consulenza innovazione</t>
        </is>
      </c>
    </row>
    <row r="85" customFormat="1" s="30">
      <c r="B85" s="30" t="inlineStr">
        <is>
          <t>Altro</t>
        </is>
      </c>
      <c r="C85" s="35" t="n">
        <v>2027</v>
      </c>
      <c r="D85" s="37" t="n">
        <v>0</v>
      </c>
      <c r="E85" s="30" t="inlineStr">
        <is>
          <t>Inserire eventuali altri contributi</t>
        </is>
      </c>
    </row>
    <row r="86" customFormat="1" s="30">
      <c r="B86" s="36" t="inlineStr">
        <is>
          <t>TOTALE altri incentivi</t>
        </is>
      </c>
      <c r="D86" s="48">
        <f>SUM(D82:D85)</f>
        <v/>
      </c>
    </row>
    <row r="87" customFormat="1" s="30">
      <c r="B87" s="171" t="inlineStr">
        <is>
          <t>Lo ZES Sardegna è un credito d'imposta utilizzabile esclusivamente in compensazione F24 (non rimborso/cassa). Effetto positivo solo a fronte di imposte effettivamente dovute. Cap prudenziale 256k applicato in attesa di istruttoria. Verificare che l'investimento sia in zona ZES e produttivo.</t>
        </is>
      </c>
      <c r="C87" s="169" t="n"/>
      <c r="D87" s="169" t="n"/>
      <c r="E87" s="169" t="n"/>
      <c r="F87" s="169" t="n"/>
      <c r="G87" s="170" t="n"/>
    </row>
    <row r="88" customFormat="1" s="30"/>
    <row r="89" ht="15.75" customFormat="1" customHeight="1" s="30">
      <c r="B89" s="138" t="inlineStr">
        <is>
          <t>📊 IMPATTO SULLA COPERTURA FINANZIARIA</t>
        </is>
      </c>
      <c r="C89" s="136" t="n"/>
      <c r="D89" s="136" t="n"/>
      <c r="E89" s="137" t="n"/>
    </row>
    <row r="90" customFormat="1" s="30">
      <c r="B90" s="34" t="inlineStr">
        <is>
          <t>Voce</t>
        </is>
      </c>
      <c r="C90" s="34" t="inlineStr">
        <is>
          <t>Importo</t>
        </is>
      </c>
      <c r="D90" s="34" t="inlineStr">
        <is>
          <t>%</t>
        </is>
      </c>
    </row>
    <row r="91" customFormat="1" s="30">
      <c r="B91" s="30" t="inlineStr">
        <is>
          <t>CAPEX iniziale 2027</t>
        </is>
      </c>
      <c r="C91" s="49">
        <f>H51</f>
        <v/>
      </c>
    </row>
    <row r="92" customFormat="1" s="30">
      <c r="B92" s="30" t="inlineStr">
        <is>
          <t>(-) Contributo PNRR fondo perduto</t>
        </is>
      </c>
      <c r="C92" s="50">
        <f>-C77</f>
        <v/>
      </c>
    </row>
    <row r="93" customFormat="1" s="30">
      <c r="B93" s="30" t="inlineStr">
        <is>
          <t>(-) Altri incentivi</t>
        </is>
      </c>
      <c r="C93" s="50">
        <f>-D86</f>
        <v/>
      </c>
    </row>
    <row r="94" customFormat="1" s="30">
      <c r="B94" s="36" t="inlineStr">
        <is>
          <t>FABBISOGNO NETTO</t>
        </is>
      </c>
      <c r="C94" s="51">
        <f>C91+C92+C93</f>
        <v/>
      </c>
      <c r="D94" s="52">
        <f>C94/C91</f>
        <v/>
      </c>
    </row>
    <row r="95" customFormat="1" s="30"/>
    <row r="96" customFormat="1" s="30">
      <c r="B96" s="138" t="inlineStr">
        <is>
          <t>💡 Esempio con valori inseriti:</t>
        </is>
      </c>
    </row>
    <row r="97" customFormat="1" s="30">
      <c r="B97" s="53" t="inlineStr">
        <is>
          <t>• CAPEX iniziale 2027: 295.000€ (già nella tabella sopra)</t>
        </is>
      </c>
    </row>
    <row r="98" customFormat="1" s="30">
      <c r="B98" s="53" t="inlineStr">
        <is>
          <t>• Contributo PNRR 80% su 700k€: 560.000€ a fondo perduto</t>
        </is>
      </c>
    </row>
    <row r="99" customFormat="1" s="30">
      <c r="B99" s="53" t="inlineStr">
        <is>
          <t>• Copertura: 560k€ &gt; 295k€ → Il PNRR COPRE TUTTO + surplus!</t>
        </is>
      </c>
    </row>
    <row r="100" customFormat="1" s="30">
      <c r="B100" s="53" t="inlineStr">
        <is>
          <t>• Surplus utilizzabile: 265.000€ per altri costi 2027-2027</t>
        </is>
      </c>
    </row>
    <row r="101" customFormat="1" s="30">
      <c r="B101" s="54" t="n"/>
    </row>
    <row r="102" customFormat="1" s="30">
      <c r="B102" s="53" t="inlineStr">
        <is>
          <t>⚠️  IMPORTANTE:</t>
        </is>
      </c>
    </row>
    <row r="103" customFormat="1" s="30">
      <c r="B103" s="53" t="inlineStr">
        <is>
          <t>Il contributo PNRR NON riduce il CAPEX (investimento reale),</t>
        </is>
      </c>
    </row>
    <row r="104" customFormat="1" s="30">
      <c r="B104" s="53" t="inlineStr">
        <is>
          <t>ma migliora il CASH FLOW (meno denaro da mettere ).</t>
        </is>
      </c>
    </row>
    <row r="105" ht="18.75" customFormat="1" customHeight="1" s="30">
      <c r="B105" s="138" t="inlineStr">
        <is>
          <t>📊 TABELLA AMMORTAMENTI BOE (5 anni)</t>
        </is>
      </c>
      <c r="C105" s="136" t="n"/>
      <c r="D105" s="136" t="n"/>
      <c r="E105" s="136" t="n"/>
      <c r="F105" s="136" t="n"/>
      <c r="G105" s="136" t="n"/>
      <c r="H105" s="136" t="n"/>
      <c r="I105" s="136" t="n"/>
      <c r="J105" s="137" t="n"/>
    </row>
    <row r="106" customFormat="1" s="30">
      <c r="B106" s="53" t="inlineStr">
        <is>
          <t>Anni ammortamento boe:</t>
        </is>
      </c>
      <c r="C106" s="55" t="n">
        <v>5</v>
      </c>
      <c r="D106" s="30" t="inlineStr">
        <is>
          <t>anni (EDITABILE)</t>
        </is>
      </c>
    </row>
    <row r="107" customFormat="1" s="30">
      <c r="B107" s="53" t="inlineStr">
        <is>
          <t>• CAPEX rimane 295k€ (investimento effettivo)</t>
        </is>
      </c>
    </row>
    <row r="108" customFormat="1" s="30">
      <c r="B108" s="53" t="inlineStr">
        <is>
          <t>• Cash Flow migliora di +560k€ (entrata PNRR 2027)</t>
        </is>
      </c>
      <c r="C108" s="31" t="inlineStr">
        <is>
          <t>Anno Acquisto</t>
        </is>
      </c>
      <c r="D108" s="31" t="inlineStr">
        <is>
          <t>CAPEX Boe</t>
        </is>
      </c>
      <c r="E108" s="31" t="inlineStr">
        <is>
          <t>Ammort 2027</t>
        </is>
      </c>
      <c r="F108" s="31" t="n">
        <v>2028</v>
      </c>
      <c r="G108" s="31" t="n">
        <v>2029</v>
      </c>
      <c r="H108" s="31" t="n">
        <v>2030</v>
      </c>
      <c r="I108" s="31" t="n">
        <v>2031</v>
      </c>
      <c r="J108" s="31" t="n">
        <v>2032</v>
      </c>
    </row>
    <row r="109" customFormat="1" s="30">
      <c r="B109" s="30" t="n">
        <v>2027</v>
      </c>
      <c r="C109" s="49">
        <f>C8*$C$26*(1-$C$36/100)</f>
        <v/>
      </c>
      <c r="D109" s="56">
        <f>IF(AND(2027&gt;=$B109,2027&lt;$B109+$C$106),$C109/$C$106,0)</f>
        <v/>
      </c>
      <c r="E109" s="56">
        <f>IF(AND(2028&gt;=$B109,2028&lt;$B109+$C$106),$C109/$C$106,0)</f>
        <v/>
      </c>
      <c r="F109" s="56">
        <f>IF(AND(2029&gt;=$B109,2029&lt;$B109+$C$106),$C109/$C$106,0)</f>
        <v/>
      </c>
      <c r="G109" s="56">
        <f>IF(AND(2030&gt;=$B109,2030&lt;$B109+$C$106),$C109/$C$106,0)</f>
        <v/>
      </c>
      <c r="H109" s="56">
        <f>IF(AND(2031&gt;=$B109,2031&lt;$B109+$C$106),$C109/$C$106,0)</f>
        <v/>
      </c>
      <c r="I109" s="56">
        <f>IF(AND(2032&gt;=$B109,2032&lt;$B109+$C$106),$C109/$C$106,0)</f>
        <v/>
      </c>
    </row>
    <row r="110" customFormat="1" s="30">
      <c r="B110" s="30" t="n">
        <v>2028</v>
      </c>
      <c r="C110" s="49">
        <f>C9*$C$26*(1-$C$36/100)</f>
        <v/>
      </c>
      <c r="D110" s="56">
        <f>IF(AND(2027&gt;=$B110,2027&lt;$B110+$C$106),$C110/$C$106,0)</f>
        <v/>
      </c>
      <c r="E110" s="56">
        <f>IF(AND(2028&gt;=$B110,2028&lt;$B110+$C$106),$C110/$C$106,0)</f>
        <v/>
      </c>
      <c r="F110" s="56">
        <f>IF(AND(2029&gt;=$B110,2029&lt;$B110+$C$106),$C110/$C$106,0)</f>
        <v/>
      </c>
      <c r="G110" s="56">
        <f>IF(AND(2030&gt;=$B110,2030&lt;$B110+$C$106),$C110/$C$106,0)</f>
        <v/>
      </c>
      <c r="H110" s="56">
        <f>IF(AND(2031&gt;=$B110,2031&lt;$B110+$C$106),$C110/$C$106,0)</f>
        <v/>
      </c>
      <c r="I110" s="56">
        <f>IF(AND(2032&gt;=$B110,2032&lt;$B110+$C$106),$C110/$C$106,0)</f>
        <v/>
      </c>
    </row>
    <row r="111" customFormat="1" s="30">
      <c r="B111" s="30" t="n">
        <v>2029</v>
      </c>
      <c r="C111" s="49">
        <f>C10*$C$26*(1-$C$36/100)</f>
        <v/>
      </c>
      <c r="D111" s="56">
        <f>IF(AND(2027&gt;=$B111,2027&lt;$B111+$C$106),$C111/$C$106,0)</f>
        <v/>
      </c>
      <c r="E111" s="56">
        <f>IF(AND(2028&gt;=$B111,2028&lt;$B111+$C$106),$C111/$C$106,0)</f>
        <v/>
      </c>
      <c r="F111" s="56">
        <f>IF(AND(2029&gt;=$B111,2029&lt;$B111+$C$106),$C111/$C$106,0)</f>
        <v/>
      </c>
      <c r="G111" s="56">
        <f>IF(AND(2030&gt;=$B111,2030&lt;$B111+$C$106),$C111/$C$106,0)</f>
        <v/>
      </c>
      <c r="H111" s="56">
        <f>IF(AND(2031&gt;=$B111,2031&lt;$B111+$C$106),$C111/$C$106,0)</f>
        <v/>
      </c>
      <c r="I111" s="56">
        <f>IF(AND(2032&gt;=$B111,2032&lt;$B111+$C$106),$C111/$C$106,0)</f>
        <v/>
      </c>
    </row>
    <row r="112" customFormat="1" s="30">
      <c r="B112" s="30" t="n">
        <v>2030</v>
      </c>
      <c r="C112" s="49">
        <f>C11*$C$26*(1-$C$36/100)</f>
        <v/>
      </c>
      <c r="D112" s="56">
        <f>IF(AND(2027&gt;=$B112,2027&lt;$B112+$C$106),$C112/$C$106,0)</f>
        <v/>
      </c>
      <c r="E112" s="56">
        <f>IF(AND(2028&gt;=$B112,2028&lt;$B112+$C$106),$C112/$C$106,0)</f>
        <v/>
      </c>
      <c r="F112" s="56">
        <f>IF(AND(2029&gt;=$B112,2029&lt;$B112+$C$106),$C112/$C$106,0)</f>
        <v/>
      </c>
      <c r="G112" s="56">
        <f>IF(AND(2030&gt;=$B112,2030&lt;$B112+$C$106),$C112/$C$106,0)</f>
        <v/>
      </c>
      <c r="H112" s="56">
        <f>IF(AND(2031&gt;=$B112,2031&lt;$B112+$C$106),$C112/$C$106,0)</f>
        <v/>
      </c>
      <c r="I112" s="56">
        <f>IF(AND(2032&gt;=$B112,2032&lt;$B112+$C$106),$C112/$C$106,0)</f>
        <v/>
      </c>
    </row>
    <row r="113" customFormat="1" s="30">
      <c r="B113" s="30" t="n">
        <v>2031</v>
      </c>
      <c r="C113" s="49">
        <f>C12*$C$26*(1-$C$36/100)</f>
        <v/>
      </c>
      <c r="D113" s="56">
        <f>IF(AND(2027&gt;=$B113,2027&lt;$B113+$C$106),$C113/$C$106,0)</f>
        <v/>
      </c>
      <c r="E113" s="56">
        <f>IF(AND(2028&gt;=$B113,2028&lt;$B113+$C$106),$C113/$C$106,0)</f>
        <v/>
      </c>
      <c r="F113" s="56">
        <f>IF(AND(2029&gt;=$B113,2029&lt;$B113+$C$106),$C113/$C$106,0)</f>
        <v/>
      </c>
      <c r="G113" s="56">
        <f>IF(AND(2030&gt;=$B113,2030&lt;$B113+$C$106),$C113/$C$106,0)</f>
        <v/>
      </c>
      <c r="H113" s="56">
        <f>IF(AND(2031&gt;=$B113,2031&lt;$B113+$C$106),$C113/$C$106,0)</f>
        <v/>
      </c>
      <c r="I113" s="56">
        <f>IF(AND(2032&gt;=$B113,2032&lt;$B113+$C$106),$C113/$C$106,0)</f>
        <v/>
      </c>
    </row>
    <row r="114" customFormat="1" s="30">
      <c r="B114" s="30" t="n">
        <v>2032</v>
      </c>
      <c r="C114" s="49">
        <f>C13*$C$26*(1-$C$36/100)</f>
        <v/>
      </c>
      <c r="D114" s="56">
        <f>IF(AND(2027&gt;=$B114,2027&lt;$B114+$C$106),$C114/$C$106,0)</f>
        <v/>
      </c>
      <c r="E114" s="56">
        <f>IF(AND(2028&gt;=$B114,2028&lt;$B114+$C$106),$C114/$C$106,0)</f>
        <v/>
      </c>
      <c r="F114" s="56">
        <f>IF(AND(2029&gt;=$B114,2029&lt;$B114+$C$106),$C114/$C$106,0)</f>
        <v/>
      </c>
      <c r="G114" s="56">
        <f>IF(AND(2030&gt;=$B114,2030&lt;$B114+$C$106),$C114/$C$106,0)</f>
        <v/>
      </c>
      <c r="H114" s="56">
        <f>IF(AND(2031&gt;=$B114,2031&lt;$B114+$C$106),$C114/$C$106,0)</f>
        <v/>
      </c>
      <c r="I114" s="56">
        <f>IF(AND(2032&gt;=$B114,2032&lt;$B114+$C$106),$C114/$C$106,0)</f>
        <v/>
      </c>
    </row>
    <row r="115" customFormat="1" s="30">
      <c r="B115" s="40" t="inlineStr">
        <is>
          <t>TOTALE AMMORTAMENTI/ANNO</t>
        </is>
      </c>
      <c r="D115" s="57">
        <f>SUM(D109:D114)</f>
        <v/>
      </c>
      <c r="E115" s="57">
        <f>SUM(E109:E114)</f>
        <v/>
      </c>
      <c r="F115" s="57">
        <f>SUM(F109:F114)</f>
        <v/>
      </c>
      <c r="G115" s="57">
        <f>SUM(G109:G114)</f>
        <v/>
      </c>
      <c r="H115" s="57">
        <f>SUM(H109:H114)</f>
        <v/>
      </c>
      <c r="I115" s="57">
        <f>SUM(I109:I114)</f>
        <v/>
      </c>
    </row>
    <row r="116" customFormat="1" s="30"/>
    <row r="117" customFormat="1" s="30"/>
    <row r="118" customFormat="1" s="30"/>
    <row r="119" customFormat="1" s="30"/>
    <row r="120" customFormat="1" s="30">
      <c r="B120" s="139" t="inlineStr">
        <is>
          <t>PARAMETRI PUCK B2B - EDITABILI</t>
        </is>
      </c>
      <c r="C120" s="136" t="n"/>
      <c r="D120" s="136" t="n"/>
      <c r="E120" s="136" t="n"/>
      <c r="F120" s="136" t="n"/>
      <c r="G120" s="136" t="n"/>
      <c r="H120" s="137" t="n"/>
    </row>
    <row r="121" customFormat="1" s="30"/>
    <row r="122" customFormat="1" s="30">
      <c r="B122" s="58" t="inlineStr">
        <is>
          <t>PRICING (€/mese)</t>
        </is>
      </c>
    </row>
    <row r="123" customFormat="1" s="30">
      <c r="B123" s="30" t="inlineStr">
        <is>
          <t>Basic</t>
        </is>
      </c>
      <c r="C123" s="56" t="n">
        <v>20</v>
      </c>
      <c r="D123" s="56" t="n"/>
      <c r="E123" s="56" t="n"/>
      <c r="F123" s="56" t="n"/>
    </row>
    <row r="124" customFormat="1" s="30">
      <c r="B124" s="30" t="inlineStr">
        <is>
          <t>Premium</t>
        </is>
      </c>
      <c r="C124" s="56" t="n">
        <v>75</v>
      </c>
      <c r="D124" s="56" t="n"/>
      <c r="E124" s="56" t="n"/>
      <c r="F124" s="56" t="n"/>
    </row>
    <row r="125" customFormat="1" s="30">
      <c r="B125" s="30" t="inlineStr">
        <is>
          <t>Enterprise</t>
        </is>
      </c>
      <c r="C125" s="56" t="n">
        <v>140</v>
      </c>
      <c r="D125" s="56" t="n"/>
      <c r="E125" s="56" t="n"/>
      <c r="F125" s="56" t="n"/>
    </row>
    <row r="126" customFormat="1" s="30">
      <c r="C126" s="56" t="n"/>
      <c r="D126" s="56" t="n"/>
      <c r="E126" s="56" t="n"/>
      <c r="F126" s="56" t="n"/>
    </row>
    <row r="127" customFormat="1" s="30">
      <c r="B127" s="58" t="inlineStr">
        <is>
          <t>CONTRATTI PER ANNO</t>
        </is>
      </c>
      <c r="C127" s="56" t="n"/>
      <c r="D127" s="56" t="n"/>
      <c r="E127" s="56" t="n"/>
      <c r="F127" s="56" t="n"/>
    </row>
    <row r="128" customFormat="1" s="30">
      <c r="B128" s="36" t="inlineStr">
        <is>
          <t>Anno</t>
        </is>
      </c>
      <c r="C128" s="56" t="inlineStr">
        <is>
          <t>Tot</t>
        </is>
      </c>
      <c r="D128" s="56" t="inlineStr">
        <is>
          <t>Basic</t>
        </is>
      </c>
      <c r="E128" s="56" t="inlineStr">
        <is>
          <t>Premium</t>
        </is>
      </c>
      <c r="F128" s="56" t="inlineStr">
        <is>
          <t>Enterprise</t>
        </is>
      </c>
    </row>
    <row r="129" customFormat="1" s="30">
      <c r="B129" s="30" t="n">
        <v>2027</v>
      </c>
      <c r="C129" s="56">
        <f>D129+E129+F129</f>
        <v/>
      </c>
      <c r="D129" s="56" t="n">
        <v>80</v>
      </c>
      <c r="E129" s="56" t="n">
        <v>30</v>
      </c>
      <c r="F129" s="56" t="n">
        <v>10</v>
      </c>
    </row>
    <row r="130" customFormat="1" s="30">
      <c r="B130" s="30" t="n">
        <v>2028</v>
      </c>
      <c r="C130" s="56">
        <f>D130+E130+F130</f>
        <v/>
      </c>
      <c r="D130" s="56" t="n">
        <v>150</v>
      </c>
      <c r="E130" s="56" t="n">
        <v>30</v>
      </c>
      <c r="F130" s="56" t="n">
        <v>15</v>
      </c>
    </row>
    <row r="131" customFormat="1" s="30">
      <c r="B131" s="30" t="n">
        <v>2029</v>
      </c>
      <c r="C131" s="56">
        <f>D131+E131+F131</f>
        <v/>
      </c>
      <c r="D131" s="56" t="n">
        <v>300</v>
      </c>
      <c r="E131" s="56" t="n">
        <v>60</v>
      </c>
      <c r="F131" s="56" t="n">
        <v>30</v>
      </c>
    </row>
    <row r="132" customFormat="1" s="30">
      <c r="B132" s="30" t="n">
        <v>2030</v>
      </c>
      <c r="C132" s="56">
        <f>D132+E132+F132</f>
        <v/>
      </c>
      <c r="D132" s="56" t="n">
        <v>450</v>
      </c>
      <c r="E132" s="56" t="n">
        <v>100</v>
      </c>
      <c r="F132" s="56" t="n">
        <v>50</v>
      </c>
    </row>
    <row r="133" customFormat="1" s="30">
      <c r="B133" s="30" t="n">
        <v>2031</v>
      </c>
      <c r="C133" s="56">
        <f>D133+E133+F133</f>
        <v/>
      </c>
      <c r="D133" s="56" t="n">
        <v>800</v>
      </c>
      <c r="E133" s="56" t="n">
        <v>120</v>
      </c>
      <c r="F133" s="56" t="n">
        <v>80</v>
      </c>
    </row>
    <row r="134" customFormat="1" s="30">
      <c r="B134" s="30" t="n">
        <v>2032</v>
      </c>
      <c r="C134" s="56">
        <f>D134+E134+F134</f>
        <v/>
      </c>
      <c r="D134" s="56" t="n">
        <v>800</v>
      </c>
      <c r="E134" s="56" t="n">
        <v>140</v>
      </c>
      <c r="F134" s="56" t="n">
        <v>100</v>
      </c>
    </row>
    <row r="135" customFormat="1" s="30">
      <c r="B135" s="58" t="inlineStr">
        <is>
          <t>OPEX PER ANNO (€)</t>
        </is>
      </c>
      <c r="C135" s="56" t="n"/>
      <c r="D135" s="56" t="n"/>
      <c r="E135" s="56" t="n"/>
      <c r="F135" s="56" t="n"/>
    </row>
    <row r="136" customFormat="1" s="30">
      <c r="B136" s="36" t="inlineStr">
        <is>
          <t>Anno</t>
        </is>
      </c>
      <c r="C136" s="56" t="inlineStr">
        <is>
          <t>Software</t>
        </is>
      </c>
      <c r="D136" s="56" t="inlineStr">
        <is>
          <t>Marketing</t>
        </is>
      </c>
      <c r="E136" s="56" t="inlineStr">
        <is>
          <t>Infrastrutture</t>
        </is>
      </c>
      <c r="F136" s="59" t="inlineStr">
        <is>
          <t>vendite</t>
        </is>
      </c>
    </row>
    <row r="137" customFormat="1" s="30">
      <c r="B137" s="30" t="n">
        <v>2027</v>
      </c>
      <c r="C137" s="56" t="n">
        <v>40000</v>
      </c>
      <c r="D137" s="56" t="n">
        <v>25000</v>
      </c>
      <c r="E137" s="56" t="n">
        <v>8000</v>
      </c>
      <c r="F137" s="56" t="n">
        <v>25000</v>
      </c>
    </row>
    <row r="138" customFormat="1" s="30">
      <c r="B138" s="30" t="n">
        <v>2028</v>
      </c>
      <c r="C138" s="56" t="n">
        <v>13000</v>
      </c>
      <c r="D138" s="56" t="n">
        <v>20000</v>
      </c>
      <c r="E138" s="56" t="n">
        <v>10000</v>
      </c>
      <c r="F138" s="56" t="n">
        <v>40000</v>
      </c>
    </row>
    <row r="139" customFormat="1" s="30">
      <c r="B139" s="30" t="n">
        <v>2029</v>
      </c>
      <c r="C139" s="56" t="n">
        <v>16000</v>
      </c>
      <c r="D139" s="56" t="n">
        <v>27000</v>
      </c>
      <c r="E139" s="56" t="n">
        <v>12000</v>
      </c>
      <c r="F139" s="56" t="n">
        <v>40000</v>
      </c>
    </row>
    <row r="140" customFormat="1" s="30">
      <c r="B140" s="30" t="n">
        <v>2030</v>
      </c>
      <c r="C140" s="56" t="n">
        <v>18000</v>
      </c>
      <c r="D140" s="56" t="n">
        <v>40000</v>
      </c>
      <c r="E140" s="56" t="n">
        <v>15000</v>
      </c>
      <c r="F140" s="56" t="n">
        <v>50000</v>
      </c>
    </row>
    <row r="141" customFormat="1" s="30">
      <c r="B141" s="30" t="n">
        <v>2031</v>
      </c>
      <c r="C141" s="56" t="n">
        <v>18000</v>
      </c>
      <c r="D141" s="56" t="n">
        <v>55000</v>
      </c>
      <c r="E141" s="56" t="n">
        <v>18000</v>
      </c>
      <c r="F141" s="56" t="n">
        <v>70000</v>
      </c>
    </row>
    <row r="142" customFormat="1" s="30">
      <c r="B142" s="30" t="n">
        <v>2032</v>
      </c>
      <c r="C142" s="56" t="n">
        <v>18000</v>
      </c>
      <c r="D142" s="56" t="n">
        <v>55000</v>
      </c>
      <c r="E142" s="56" t="n">
        <v>18000</v>
      </c>
      <c r="F142" s="56" t="n">
        <v>70000</v>
      </c>
    </row>
    <row r="143" customFormat="1" s="30"/>
  </sheetData>
  <mergeCells count="14">
    <mergeCell ref="B66:H66"/>
    <mergeCell ref="B39:F39"/>
    <mergeCell ref="B38:F38"/>
    <mergeCell ref="B67:G67"/>
    <mergeCell ref="B65:H65"/>
    <mergeCell ref="B79:G79"/>
    <mergeCell ref="B3:E3"/>
    <mergeCell ref="B2:E2"/>
    <mergeCell ref="B105:J105"/>
    <mergeCell ref="B4:J4"/>
    <mergeCell ref="B120:H120"/>
    <mergeCell ref="B89:E89"/>
    <mergeCell ref="B78:G78"/>
    <mergeCell ref="B87:G87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2:T33"/>
  <sheetViews>
    <sheetView tabSelected="1" zoomScale="125" zoomScaleNormal="125" workbookViewId="0">
      <selection activeCell="K20" sqref="K20"/>
    </sheetView>
  </sheetViews>
  <sheetFormatPr baseColWidth="10" defaultColWidth="8.83203125" defaultRowHeight="15"/>
  <cols>
    <col width="10" customWidth="1" style="133" min="1" max="1"/>
    <col width="12" customWidth="1" style="133" min="2" max="10"/>
    <col width="14" customWidth="1" style="133" min="11" max="12"/>
    <col width="12" customWidth="1" style="133" min="13" max="13"/>
    <col width="13" customWidth="1" style="133" min="14" max="15"/>
    <col width="18.33203125" bestFit="1" customWidth="1" style="133" min="16" max="16"/>
    <col width="13.33203125" customWidth="1" style="133" min="17" max="20"/>
  </cols>
  <sheetData>
    <row r="1" customFormat="1" s="30"/>
    <row r="2" ht="18.75" customFormat="1" customHeight="1" s="30">
      <c r="A2" s="60" t="inlineStr">
        <is>
          <t>BUSINESS PLAN COMPLETO 2027-2032</t>
        </is>
      </c>
    </row>
    <row r="3" customFormat="1" s="30">
      <c r="A3" s="61" t="inlineStr">
        <is>
          <t>📊 Valori calcolati automaticamente da foglio Assunzioni</t>
        </is>
      </c>
    </row>
    <row r="4" ht="30" customFormat="1" customHeight="1" s="30">
      <c r="A4" s="30" t="inlineStr">
        <is>
          <t>Anno</t>
        </is>
      </c>
      <c r="B4" s="30" t="inlineStr">
        <is>
          <t>Boe Nuove</t>
        </is>
      </c>
      <c r="C4" s="30" t="inlineStr">
        <is>
          <t>Boe Cumul.</t>
        </is>
      </c>
      <c r="D4" s="30" t="inlineStr">
        <is>
          <t>Tariffa €</t>
        </is>
      </c>
      <c r="E4" s="30" t="inlineStr">
        <is>
          <t>Occ %</t>
        </is>
      </c>
      <c r="F4" s="30" t="inlineStr">
        <is>
          <t>Gg/anno</t>
        </is>
      </c>
      <c r="G4" s="30" t="inlineStr">
        <is>
          <t>Ormeggi/anno</t>
        </is>
      </c>
      <c r="H4" s="30" t="inlineStr">
        <is>
          <t>Ricavi €</t>
        </is>
      </c>
      <c r="I4" s="30" t="inlineStr">
        <is>
          <t>CAPEX Boe €</t>
        </is>
      </c>
      <c r="J4" s="30" t="inlineStr">
        <is>
          <t>OPEX €</t>
        </is>
      </c>
      <c r="K4" s="30" t="inlineStr">
        <is>
          <t>Ammortam. €</t>
        </is>
      </c>
      <c r="L4" s="30" t="inlineStr">
        <is>
          <t>EBITDA €</t>
        </is>
      </c>
      <c r="M4" s="30" t="inlineStr">
        <is>
          <t>EBIT €</t>
        </is>
      </c>
      <c r="N4" s="62" t="inlineStr">
        <is>
          <t>NaviGoo24 Ricavi €</t>
        </is>
      </c>
      <c r="O4" s="62" t="inlineStr">
        <is>
          <t>NaviGoo24 OPEX €</t>
        </is>
      </c>
      <c r="P4" s="109" t="inlineStr">
        <is>
          <t>EBITDA NavoGoo24</t>
        </is>
      </c>
      <c r="Q4" s="63" t="inlineStr">
        <is>
          <t>Ricavi TOTALI €</t>
        </is>
      </c>
      <c r="R4" s="63" t="inlineStr">
        <is>
          <t>Costi Tot. €</t>
        </is>
      </c>
      <c r="S4" s="63" t="inlineStr">
        <is>
          <t>CAPEX Tot. €</t>
        </is>
      </c>
      <c r="T4" s="63" t="inlineStr">
        <is>
          <t>EBITDA Tot. €</t>
        </is>
      </c>
    </row>
    <row r="5" ht="31.5" customFormat="1" customHeight="1" s="30">
      <c r="A5" s="64" t="inlineStr">
        <is>
          <t>Anno</t>
        </is>
      </c>
      <c r="B5" s="64" t="inlineStr">
        <is>
          <t>Boe
Nuove</t>
        </is>
      </c>
      <c r="C5" s="64" t="inlineStr">
        <is>
          <t>Boe
Cumulative</t>
        </is>
      </c>
      <c r="D5" s="64" t="inlineStr">
        <is>
          <t>Tariffa
Giorno</t>
        </is>
      </c>
      <c r="E5" s="64" t="inlineStr">
        <is>
          <t>Occupancy
%</t>
        </is>
      </c>
      <c r="F5" s="64" t="inlineStr">
        <is>
          <t>Giorni
Operativi</t>
        </is>
      </c>
      <c r="G5" s="64" t="inlineStr">
        <is>
          <t>Ormeggi
Anno</t>
        </is>
      </c>
      <c r="H5" s="64" t="inlineStr">
        <is>
          <t>Ricavi</t>
        </is>
      </c>
      <c r="I5" s="64" t="inlineStr">
        <is>
          <t>CAPEX
Boe</t>
        </is>
      </c>
      <c r="J5" s="64" t="inlineStr">
        <is>
          <t>OPEX</t>
        </is>
      </c>
      <c r="K5" s="64" t="inlineStr">
        <is>
          <t>Ammortamenti</t>
        </is>
      </c>
      <c r="L5" s="64" t="inlineStr">
        <is>
          <t>EBITDA</t>
        </is>
      </c>
      <c r="M5" s="103" t="inlineStr">
        <is>
          <t>EBIT</t>
        </is>
      </c>
      <c r="N5" s="62" t="inlineStr">
        <is>
          <t>Ricavi
PUCk B2B</t>
        </is>
      </c>
      <c r="O5" s="62" t="inlineStr">
        <is>
          <t>OPEX
PUCk B2B</t>
        </is>
      </c>
      <c r="P5" s="62" t="inlineStr">
        <is>
          <t>EBITDA</t>
        </is>
      </c>
      <c r="Q5" s="63" t="inlineStr">
        <is>
          <t>Ricavi
Totali</t>
        </is>
      </c>
      <c r="R5" s="63" t="inlineStr">
        <is>
          <t>Costi
Totali</t>
        </is>
      </c>
      <c r="S5" s="63" t="inlineStr">
        <is>
          <t>CAPEX
Totale</t>
        </is>
      </c>
      <c r="T5" s="63" t="inlineStr">
        <is>
          <t>EBITDA
Totale</t>
        </is>
      </c>
    </row>
    <row r="6" customFormat="1" s="30">
      <c r="A6" s="30" t="n">
        <v>2027</v>
      </c>
      <c r="B6" s="65">
        <f>Assunzioni!C8</f>
        <v/>
      </c>
      <c r="C6" s="65">
        <f>B6</f>
        <v/>
      </c>
      <c r="D6" s="65">
        <f>Assunzioni!C17</f>
        <v/>
      </c>
      <c r="E6" s="66">
        <f>Assunzioni!D17/100</f>
        <v/>
      </c>
      <c r="F6" s="65">
        <f>Assunzioni!E17</f>
        <v/>
      </c>
      <c r="G6" s="67">
        <f>C6*E6*F6</f>
        <v/>
      </c>
      <c r="H6" s="67">
        <f>G6*D6</f>
        <v/>
      </c>
      <c r="I6" s="67">
        <f>B6*Assunzioni!$C$26*(1-Assunzioni!$C$36/100)</f>
        <v/>
      </c>
      <c r="J6" s="67">
        <f>Assunzioni!$C$27*(1+Assunzioni!$C$28/100)^0 + Assunzioni!$C$46*C6</f>
        <v/>
      </c>
      <c r="K6" s="67">
        <f>Assunzioni!$D$115</f>
        <v/>
      </c>
      <c r="L6" s="67">
        <f>H6-J6</f>
        <v/>
      </c>
      <c r="M6" s="68">
        <f>L6-K6</f>
        <v/>
      </c>
      <c r="N6" s="56">
        <f>(Assunzioni!D129*Assunzioni!C123+Assunzioni!E129*Assunzioni!C124+Assunzioni!F129*Assunzioni!C125)*12</f>
        <v/>
      </c>
      <c r="O6" s="56">
        <f>Assunzioni!C137+Assunzioni!D137+Assunzioni!E137+Assunzioni!F137</f>
        <v/>
      </c>
      <c r="P6" s="106">
        <f>N6-O6</f>
        <v/>
      </c>
      <c r="Q6" s="56">
        <f>H6+N6</f>
        <v/>
      </c>
      <c r="R6" s="43">
        <f>J6+O6</f>
        <v/>
      </c>
      <c r="S6" s="43">
        <f>I6+Assunzioni!H51</f>
        <v/>
      </c>
      <c r="T6" s="43">
        <f>Q6-R6</f>
        <v/>
      </c>
    </row>
    <row r="7" customFormat="1" s="30">
      <c r="A7" s="30" t="n">
        <v>2028</v>
      </c>
      <c r="B7" s="65">
        <f>Assunzioni!C9</f>
        <v/>
      </c>
      <c r="C7" s="65">
        <f>C6+B7</f>
        <v/>
      </c>
      <c r="D7" s="65">
        <f>Assunzioni!C18</f>
        <v/>
      </c>
      <c r="E7" s="66">
        <f>Assunzioni!D18/100</f>
        <v/>
      </c>
      <c r="F7" s="65">
        <f>Assunzioni!E18</f>
        <v/>
      </c>
      <c r="G7" s="67">
        <f>C7*E7*F7</f>
        <v/>
      </c>
      <c r="H7" s="67">
        <f>G7*D7</f>
        <v/>
      </c>
      <c r="I7" s="67">
        <f>B7*Assunzioni!$C$26*(1-Assunzioni!$C$36/100)</f>
        <v/>
      </c>
      <c r="J7" s="67">
        <f>Assunzioni!$C$27*(1+Assunzioni!$C$28/100)^1 + Assunzioni!$C$46*C7</f>
        <v/>
      </c>
      <c r="K7" s="67">
        <f>Assunzioni!$E$115</f>
        <v/>
      </c>
      <c r="L7" s="67">
        <f>H7-J7</f>
        <v/>
      </c>
      <c r="M7" s="68">
        <f>L7-K7</f>
        <v/>
      </c>
      <c r="N7" s="56">
        <f>(Assunzioni!D130*Assunzioni!$C$123+Assunzioni!E130*Assunzioni!$C$124+Assunzioni!F130*Assunzioni!$C$125)*12</f>
        <v/>
      </c>
      <c r="O7" s="56">
        <f>Assunzioni!C138+Assunzioni!D138+Assunzioni!E138+Assunzioni!F138</f>
        <v/>
      </c>
      <c r="P7" s="107">
        <f>N7-O7</f>
        <v/>
      </c>
      <c r="Q7" s="56">
        <f>H7+N7</f>
        <v/>
      </c>
      <c r="R7" s="43">
        <f>J7+O7</f>
        <v/>
      </c>
      <c r="S7" s="43">
        <f>I7+Assunzioni!H52</f>
        <v/>
      </c>
      <c r="T7" s="43">
        <f>Q7-R7</f>
        <v/>
      </c>
    </row>
    <row r="8" customFormat="1" s="30">
      <c r="A8" s="30" t="n">
        <v>2029</v>
      </c>
      <c r="B8" s="65">
        <f>Assunzioni!C10</f>
        <v/>
      </c>
      <c r="C8" s="65">
        <f>C7+B8</f>
        <v/>
      </c>
      <c r="D8" s="65">
        <f>Assunzioni!C19</f>
        <v/>
      </c>
      <c r="E8" s="66">
        <f>Assunzioni!D19/100</f>
        <v/>
      </c>
      <c r="F8" s="65">
        <f>Assunzioni!E19</f>
        <v/>
      </c>
      <c r="G8" s="67">
        <f>C8*E8*F8</f>
        <v/>
      </c>
      <c r="H8" s="67">
        <f>G8*D8</f>
        <v/>
      </c>
      <c r="I8" s="67">
        <f>B8*Assunzioni!$C$26*(1-Assunzioni!$C$36/100)</f>
        <v/>
      </c>
      <c r="J8" s="67">
        <f>Assunzioni!$C$27*(1+Assunzioni!$C$28/100)^2 + Assunzioni!$C$46*C8</f>
        <v/>
      </c>
      <c r="K8" s="67">
        <f>Assunzioni!$F$115</f>
        <v/>
      </c>
      <c r="L8" s="67">
        <f>H8-J8</f>
        <v/>
      </c>
      <c r="M8" s="68">
        <f>L8-K8</f>
        <v/>
      </c>
      <c r="N8" s="56">
        <f>(Assunzioni!D131*Assunzioni!$C$123+Assunzioni!E131*Assunzioni!$C$124+Assunzioni!F131*Assunzioni!$C$125)*12</f>
        <v/>
      </c>
      <c r="O8" s="56">
        <f>Assunzioni!C139+Assunzioni!D139+Assunzioni!E139+Assunzioni!F139</f>
        <v/>
      </c>
      <c r="P8" s="107">
        <f>N8-O8</f>
        <v/>
      </c>
      <c r="Q8" s="56">
        <f>H8+N8</f>
        <v/>
      </c>
      <c r="R8" s="43">
        <f>J8+O8</f>
        <v/>
      </c>
      <c r="S8" s="43">
        <f>I8+Assunzioni!H53</f>
        <v/>
      </c>
      <c r="T8" s="43">
        <f>Q8-R8</f>
        <v/>
      </c>
    </row>
    <row r="9" customFormat="1" s="30">
      <c r="A9" s="30" t="n">
        <v>2030</v>
      </c>
      <c r="B9" s="65">
        <f>Assunzioni!C11</f>
        <v/>
      </c>
      <c r="C9" s="65">
        <f>C8+B9</f>
        <v/>
      </c>
      <c r="D9" s="65">
        <f>Assunzioni!C20</f>
        <v/>
      </c>
      <c r="E9" s="66">
        <f>Assunzioni!D20/100</f>
        <v/>
      </c>
      <c r="F9" s="65">
        <f>Assunzioni!E20</f>
        <v/>
      </c>
      <c r="G9" s="67">
        <f>C9*E9*F9</f>
        <v/>
      </c>
      <c r="H9" s="67">
        <f>G9*D9</f>
        <v/>
      </c>
      <c r="I9" s="67">
        <f>B9*Assunzioni!$C$26*(1-Assunzioni!$C$36/100)</f>
        <v/>
      </c>
      <c r="J9" s="67">
        <f>Assunzioni!$C$27*(1+Assunzioni!$C$28/100)^3 + Assunzioni!$C$46*C9</f>
        <v/>
      </c>
      <c r="K9" s="67">
        <f>Assunzioni!$G$115</f>
        <v/>
      </c>
      <c r="L9" s="67">
        <f>H9-J9</f>
        <v/>
      </c>
      <c r="M9" s="104">
        <f>L9-K9</f>
        <v/>
      </c>
      <c r="N9" s="56">
        <f>(Assunzioni!D132*Assunzioni!$C$123+Assunzioni!E132*Assunzioni!$C$124+Assunzioni!F132*Assunzioni!$C$125)*12</f>
        <v/>
      </c>
      <c r="O9" s="56">
        <f>Assunzioni!C140+Assunzioni!D140+Assunzioni!E140+Assunzioni!F140</f>
        <v/>
      </c>
      <c r="P9" s="107">
        <f>N9-O9</f>
        <v/>
      </c>
      <c r="Q9" s="56">
        <f>H9+N9</f>
        <v/>
      </c>
      <c r="R9" s="43">
        <f>J9+O9</f>
        <v/>
      </c>
      <c r="S9" s="43">
        <f>I9+Assunzioni!H54</f>
        <v/>
      </c>
      <c r="T9" s="43">
        <f>Q9-R9</f>
        <v/>
      </c>
    </row>
    <row r="10" customFormat="1" s="30">
      <c r="A10" s="30" t="n">
        <v>2031</v>
      </c>
      <c r="B10" s="65">
        <f>Assunzioni!C12</f>
        <v/>
      </c>
      <c r="C10" s="65">
        <f>C9+B10</f>
        <v/>
      </c>
      <c r="D10" s="65">
        <f>Assunzioni!C21</f>
        <v/>
      </c>
      <c r="E10" s="66">
        <f>Assunzioni!D21/100</f>
        <v/>
      </c>
      <c r="F10" s="65">
        <f>Assunzioni!E21</f>
        <v/>
      </c>
      <c r="G10" s="67">
        <f>C10*E10*F10</f>
        <v/>
      </c>
      <c r="H10" s="67">
        <f>G10*D10</f>
        <v/>
      </c>
      <c r="I10" s="67">
        <f>B10*Assunzioni!$C$26*(1-Assunzioni!$C$36/100)</f>
        <v/>
      </c>
      <c r="J10" s="67">
        <f>Assunzioni!$C$27*(1+Assunzioni!$C$28/100)^4 + Assunzioni!$C$46*C10</f>
        <v/>
      </c>
      <c r="K10" s="67">
        <f>Assunzioni!$H$115</f>
        <v/>
      </c>
      <c r="L10" s="67">
        <f>H10-J10</f>
        <v/>
      </c>
      <c r="M10" s="104">
        <f>L10-K10</f>
        <v/>
      </c>
      <c r="N10" s="56">
        <f>(Assunzioni!D133*Assunzioni!$C$123+Assunzioni!E133*Assunzioni!$C$124+Assunzioni!F133*Assunzioni!$C$125)*12</f>
        <v/>
      </c>
      <c r="O10" s="56">
        <f>Assunzioni!C141+Assunzioni!D141+Assunzioni!E141+Assunzioni!F141</f>
        <v/>
      </c>
      <c r="P10" s="107">
        <f>N10-O10</f>
        <v/>
      </c>
      <c r="Q10" s="56">
        <f>H10+N10</f>
        <v/>
      </c>
      <c r="R10" s="43">
        <f>J10+O10</f>
        <v/>
      </c>
      <c r="S10" s="43">
        <f>I10+Assunzioni!H55</f>
        <v/>
      </c>
      <c r="T10" s="43">
        <f>Q10-R10</f>
        <v/>
      </c>
    </row>
    <row r="11" customFormat="1" s="30">
      <c r="A11" s="30" t="n">
        <v>2032</v>
      </c>
      <c r="B11" s="65">
        <f>Assunzioni!C13</f>
        <v/>
      </c>
      <c r="C11" s="65">
        <f>C10+B11</f>
        <v/>
      </c>
      <c r="D11" s="65">
        <f>Assunzioni!C22</f>
        <v/>
      </c>
      <c r="E11" s="66">
        <f>Assunzioni!D22/100</f>
        <v/>
      </c>
      <c r="F11" s="65">
        <f>Assunzioni!E22</f>
        <v/>
      </c>
      <c r="G11" s="67">
        <f>C11*E11*F11</f>
        <v/>
      </c>
      <c r="H11" s="67">
        <f>G11*D11</f>
        <v/>
      </c>
      <c r="I11" s="67">
        <f>B11*Assunzioni!$C$26*(1-Assunzioni!$C$36/100)</f>
        <v/>
      </c>
      <c r="J11" s="67">
        <f>Assunzioni!$C$27*(1+Assunzioni!$C$28/100)^5 + Assunzioni!$C$46*C11</f>
        <v/>
      </c>
      <c r="K11" s="67">
        <f>Assunzioni!$I$115</f>
        <v/>
      </c>
      <c r="L11" s="67">
        <f>H11-J11</f>
        <v/>
      </c>
      <c r="M11" s="104">
        <f>L11-K11</f>
        <v/>
      </c>
      <c r="N11" s="56">
        <f>(Assunzioni!D134*Assunzioni!$C$123+Assunzioni!E134*Assunzioni!$C$124+Assunzioni!F134*Assunzioni!$C$125)*12</f>
        <v/>
      </c>
      <c r="O11" s="56">
        <f>Assunzioni!C142+Assunzioni!D142+Assunzioni!E142+Assunzioni!F142</f>
        <v/>
      </c>
      <c r="P11" s="107">
        <f>N11-O11</f>
        <v/>
      </c>
      <c r="Q11" s="56">
        <f>H11+N11</f>
        <v/>
      </c>
      <c r="R11" s="43">
        <f>J11+O11</f>
        <v/>
      </c>
      <c r="S11" s="43">
        <f>I11+Assunzioni!H56</f>
        <v/>
      </c>
      <c r="T11" s="43">
        <f>Q11-R11</f>
        <v/>
      </c>
    </row>
    <row r="12" customFormat="1" s="30">
      <c r="A12" s="69" t="inlineStr">
        <is>
          <t>TOTALE</t>
        </is>
      </c>
      <c r="B12" s="69">
        <f>SUM(B6:B11)</f>
        <v/>
      </c>
      <c r="C12" s="69">
        <f>C11</f>
        <v/>
      </c>
      <c r="D12" s="69" t="n"/>
      <c r="E12" s="70">
        <f>AVERAGE(E6:E11)</f>
        <v/>
      </c>
      <c r="F12" s="69" t="n"/>
      <c r="G12" s="71">
        <f>SUM(G6:G11)</f>
        <v/>
      </c>
      <c r="H12" s="71">
        <f>SUM(H6:H11)</f>
        <v/>
      </c>
      <c r="I12" s="71">
        <f>SUM(I6:I11)</f>
        <v/>
      </c>
      <c r="J12" s="71">
        <f>SUM(J6:J11)</f>
        <v/>
      </c>
      <c r="K12" s="71">
        <f>SUM(K6:K11)</f>
        <v/>
      </c>
      <c r="L12" s="71">
        <f>SUM(L6:L11)</f>
        <v/>
      </c>
      <c r="M12" s="105">
        <f>SUM(M6:M11)</f>
        <v/>
      </c>
      <c r="N12" s="71">
        <f>SUM(N6:N11)</f>
        <v/>
      </c>
      <c r="O12" s="71">
        <f>SUM(O6:O11)</f>
        <v/>
      </c>
      <c r="P12" s="108">
        <f>SUM(P6:P11)</f>
        <v/>
      </c>
      <c r="Q12" s="71">
        <f>SUM(Q6:Q11)</f>
        <v/>
      </c>
      <c r="R12" s="72">
        <f>SUM(R6:R11)</f>
        <v/>
      </c>
      <c r="S12">
        <f>SUM(S6:S11)</f>
        <v/>
      </c>
      <c r="T12" s="43">
        <f>Q12-R12</f>
        <v/>
      </c>
    </row>
    <row r="13" customFormat="1" s="30"/>
    <row r="14" customFormat="1" s="30"/>
    <row r="33">
      <c r="C33" t="inlineStr">
        <is>
          <t>Percentuale %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H20"/>
  <sheetViews>
    <sheetView topLeftCell="A27" zoomScaleNormal="100" workbookViewId="0">
      <selection activeCell="C6" sqref="C6"/>
    </sheetView>
  </sheetViews>
  <sheetFormatPr baseColWidth="10" defaultColWidth="8.83203125" defaultRowHeight="21"/>
  <cols>
    <col width="8.83203125" customWidth="1" style="140" min="1" max="1"/>
    <col width="51.5" customWidth="1" style="140" min="2" max="2"/>
    <col width="18.83203125" customWidth="1" style="140" min="3" max="3"/>
    <col width="12.6640625" customWidth="1" style="140" min="4" max="4"/>
    <col width="13.6640625" customWidth="1" style="140" min="5" max="6"/>
    <col width="13.33203125" customWidth="1" style="140" min="7" max="7"/>
    <col width="8.83203125" customWidth="1" style="140" min="8" max="8"/>
    <col width="8.83203125" customWidth="1" style="140" min="9" max="16384"/>
  </cols>
  <sheetData>
    <row r="2" ht="21" customHeight="1" s="133">
      <c r="B2" s="134" t="inlineStr">
        <is>
          <t>BUSINESS PLAN SEAINNOVA 2027-2032</t>
        </is>
      </c>
    </row>
    <row r="3">
      <c r="B3" s="74" t="inlineStr">
        <is>
          <t>📈 Dashboard aggiornata automaticamente</t>
        </is>
      </c>
    </row>
    <row r="5" ht="15.75" customHeight="1" s="133">
      <c r="B5" s="75" t="inlineStr">
        <is>
          <t>📊 HIGHLIGHTS PERIODO</t>
        </is>
      </c>
    </row>
    <row r="6">
      <c r="B6" s="75" t="inlineStr">
        <is>
          <t>Ricavi 6 anni</t>
        </is>
      </c>
      <c r="C6" s="76">
        <f>'BP_Seainnova 2027_2032'!H12/1000000</f>
        <v/>
      </c>
      <c r="D6" s="140" t="inlineStr">
        <is>
          <t>M€</t>
        </is>
      </c>
    </row>
    <row r="7">
      <c r="B7" s="75" t="inlineStr">
        <is>
          <t>EBITDA 6 anni</t>
        </is>
      </c>
      <c r="C7" s="76">
        <f>'BP_Seainnova 2027_2032'!L12/1000000</f>
        <v/>
      </c>
      <c r="D7" s="140" t="inlineStr">
        <is>
          <t>M€</t>
        </is>
      </c>
    </row>
    <row r="8">
      <c r="B8" s="75" t="inlineStr">
        <is>
          <t>CAPEX totale 6 anni</t>
        </is>
      </c>
      <c r="C8" s="76">
        <f>'BP_Seainnova 2027_2032'!S12/1000000</f>
        <v/>
      </c>
      <c r="D8" s="140" t="inlineStr">
        <is>
          <t>M€</t>
        </is>
      </c>
    </row>
    <row r="9">
      <c r="B9" s="75" t="inlineStr">
        <is>
          <t>Margine EBITDA medio</t>
        </is>
      </c>
      <c r="C9" s="77">
        <f>IF('BP_Seainnova 2027_2032'!H12=0,0,'BP_Seainnova 2027_2032'!L12/'BP_Seainnova 2027_2032'!H12)</f>
        <v/>
      </c>
      <c r="D9" s="140" t="inlineStr">
        <is>
          <t>%</t>
        </is>
      </c>
    </row>
    <row r="10">
      <c r="B10" s="75" t="inlineStr">
        <is>
          <t>Boe totali fine periodo</t>
        </is>
      </c>
      <c r="C10" s="78">
        <f>'BP_Seainnova 2027_2032'!C11</f>
        <v/>
      </c>
      <c r="D10" s="140" t="inlineStr">
        <is>
          <t>unità</t>
        </is>
      </c>
    </row>
    <row r="11">
      <c r="B11" s="75" t="inlineStr">
        <is>
          <t>Break-even</t>
        </is>
      </c>
      <c r="C11" s="140" t="inlineStr">
        <is>
          <t>Anno 3 (2029)</t>
        </is>
      </c>
    </row>
    <row r="12">
      <c r="B12" s="75" t="inlineStr">
        <is>
          <t>EBIT 6 anni</t>
        </is>
      </c>
      <c r="C12" s="76">
        <f>'BP_Seainnova 2027_2032'!M12/1000000</f>
        <v/>
      </c>
      <c r="D12" s="140" t="inlineStr">
        <is>
          <t>M€</t>
        </is>
      </c>
    </row>
    <row r="13">
      <c r="B13" s="75" t="inlineStr">
        <is>
          <t>EBITDA Totale (con PUCk)</t>
        </is>
      </c>
      <c r="C13" s="76">
        <f>'BP_Seainnova 2027_2032'!T12/1000000</f>
        <v/>
      </c>
      <c r="D13" s="140" t="inlineStr">
        <is>
          <t>M€</t>
        </is>
      </c>
    </row>
    <row r="14">
      <c r="B14" s="79" t="inlineStr">
        <is>
          <t>Anno</t>
        </is>
      </c>
      <c r="C14" s="79" t="inlineStr">
        <is>
          <t>Boe Nuove</t>
        </is>
      </c>
      <c r="D14" s="79" t="inlineStr">
        <is>
          <t>Boe Totali</t>
        </is>
      </c>
      <c r="E14" s="79" t="inlineStr">
        <is>
          <t>Ricavi (€)</t>
        </is>
      </c>
      <c r="F14" s="79" t="inlineStr">
        <is>
          <t>EBITDA (€)</t>
        </is>
      </c>
      <c r="G14" s="79" t="inlineStr">
        <is>
          <t>Margine %</t>
        </is>
      </c>
    </row>
    <row r="15">
      <c r="B15" s="140">
        <f>'BP_Seainnova 2027_2032'!A6</f>
        <v/>
      </c>
      <c r="C15" s="78">
        <f>'BP_Seainnova 2027_2032'!B6</f>
        <v/>
      </c>
      <c r="D15" s="78">
        <f>'BP_Seainnova 2027_2032'!C6</f>
        <v/>
      </c>
      <c r="E15" s="80">
        <f>'BP_Seainnova 2027_2032'!H6</f>
        <v/>
      </c>
      <c r="F15" s="80">
        <f>'BP_Seainnova 2027_2032'!L6</f>
        <v/>
      </c>
      <c r="G15" s="77">
        <f>IF('BP_Seainnova 2027_2032'!H6=0,0,'BP_Seainnova 2027_2032'!L6/'BP_Seainnova 2027_2032'!H6)</f>
        <v/>
      </c>
    </row>
    <row r="16">
      <c r="B16" s="140">
        <f>'BP_Seainnova 2027_2032'!A7</f>
        <v/>
      </c>
      <c r="C16" s="78">
        <f>'BP_Seainnova 2027_2032'!B7</f>
        <v/>
      </c>
      <c r="D16" s="78">
        <f>'BP_Seainnova 2027_2032'!C7</f>
        <v/>
      </c>
      <c r="E16" s="80">
        <f>'BP_Seainnova 2027_2032'!H7</f>
        <v/>
      </c>
      <c r="F16" s="80">
        <f>'BP_Seainnova 2027_2032'!L7</f>
        <v/>
      </c>
      <c r="G16" s="77">
        <f>IF('BP_Seainnova 2027_2032'!H7=0,0,'BP_Seainnova 2027_2032'!L7/'BP_Seainnova 2027_2032'!H7)</f>
        <v/>
      </c>
    </row>
    <row r="17">
      <c r="B17" s="140">
        <f>'BP_Seainnova 2027_2032'!A8</f>
        <v/>
      </c>
      <c r="C17" s="78">
        <f>'BP_Seainnova 2027_2032'!B8</f>
        <v/>
      </c>
      <c r="D17" s="78">
        <f>'BP_Seainnova 2027_2032'!C8</f>
        <v/>
      </c>
      <c r="E17" s="80">
        <f>'BP_Seainnova 2027_2032'!H8</f>
        <v/>
      </c>
      <c r="F17" s="80">
        <f>'BP_Seainnova 2027_2032'!L8</f>
        <v/>
      </c>
      <c r="G17" s="77">
        <f>IF('BP_Seainnova 2027_2032'!H8=0,0,'BP_Seainnova 2027_2032'!L8/'BP_Seainnova 2027_2032'!H8)</f>
        <v/>
      </c>
    </row>
    <row r="18">
      <c r="B18" s="140">
        <f>'BP_Seainnova 2027_2032'!A9</f>
        <v/>
      </c>
      <c r="C18" s="78">
        <f>'BP_Seainnova 2027_2032'!B9</f>
        <v/>
      </c>
      <c r="D18" s="78">
        <f>'BP_Seainnova 2027_2032'!C9</f>
        <v/>
      </c>
      <c r="E18" s="80">
        <f>'BP_Seainnova 2027_2032'!H9</f>
        <v/>
      </c>
      <c r="F18" s="80">
        <f>'BP_Seainnova 2027_2032'!L9</f>
        <v/>
      </c>
      <c r="G18" s="77">
        <f>IF('BP_Seainnova 2027_2032'!H9=0,0,'BP_Seainnova 2027_2032'!L9/'BP_Seainnova 2027_2032'!H9)</f>
        <v/>
      </c>
    </row>
    <row r="19">
      <c r="B19" s="140">
        <f>'BP_Seainnova 2027_2032'!A10</f>
        <v/>
      </c>
      <c r="C19" s="78">
        <f>'BP_Seainnova 2027_2032'!B10</f>
        <v/>
      </c>
      <c r="D19" s="78">
        <f>'BP_Seainnova 2027_2032'!C10</f>
        <v/>
      </c>
      <c r="E19" s="80">
        <f>'BP_Seainnova 2027_2032'!H10</f>
        <v/>
      </c>
      <c r="F19" s="80">
        <f>'BP_Seainnova 2027_2032'!L10</f>
        <v/>
      </c>
      <c r="G19" s="77">
        <f>IF('BP_Seainnova 2027_2032'!H10=0,0,'BP_Seainnova 2027_2032'!L10/'BP_Seainnova 2027_2032'!H10)</f>
        <v/>
      </c>
    </row>
    <row r="20">
      <c r="B20" s="140">
        <f>'BP_Seainnova 2027_2032'!A11</f>
        <v/>
      </c>
      <c r="C20" s="78">
        <f>'BP_Seainnova 2027_2032'!B11</f>
        <v/>
      </c>
      <c r="D20" s="78">
        <f>'BP_Seainnova 2027_2032'!C11</f>
        <v/>
      </c>
      <c r="E20" s="80">
        <f>'BP_Seainnova 2027_2032'!H11</f>
        <v/>
      </c>
      <c r="F20" s="80">
        <f>'BP_Seainnova 2027_2032'!L11</f>
        <v/>
      </c>
      <c r="G20" s="77">
        <f>IF('BP_Seainnova 2027_2032'!H11=0,0,'BP_Seainnova 2027_2032'!L11/'BP_Seainnova 2027_2032'!H11)</f>
        <v/>
      </c>
    </row>
  </sheetData>
  <mergeCells count="1">
    <mergeCell ref="B2:H2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ED7D31"/>
    <outlinePr summaryBelow="1" summaryRight="1"/>
    <pageSetUpPr/>
  </sheetPr>
  <dimension ref="B2:J20"/>
  <sheetViews>
    <sheetView topLeftCell="A13" zoomScaleNormal="100" workbookViewId="0">
      <selection activeCell="I7" sqref="I7"/>
    </sheetView>
  </sheetViews>
  <sheetFormatPr baseColWidth="10" defaultColWidth="13.6640625" defaultRowHeight="18"/>
  <cols>
    <col width="13.6640625" customWidth="1" style="142" min="1" max="2"/>
    <col width="52.1640625" customWidth="1" style="142" min="3" max="3"/>
    <col width="13.6640625" customWidth="1" style="142" min="4" max="4"/>
    <col width="13.83203125" customWidth="1" style="142" min="5" max="5"/>
    <col width="18.6640625" customWidth="1" style="142" min="6" max="6"/>
    <col width="13.5" customWidth="1" style="142" min="7" max="7"/>
    <col width="14.33203125" customWidth="1" style="142" min="8" max="8"/>
    <col width="15.33203125" customWidth="1" style="142" min="9" max="9"/>
    <col width="11.83203125" customWidth="1" style="142" min="10" max="10"/>
    <col width="13.6640625" customWidth="1" style="142" min="11" max="11"/>
    <col width="13.6640625" customWidth="1" style="142" min="12" max="16384"/>
  </cols>
  <sheetData>
    <row r="2" ht="21" customHeight="1" s="133">
      <c r="B2" s="143" t="inlineStr">
        <is>
          <t>PIANO FINANZIARIO CON CONTRIBUTI</t>
        </is>
      </c>
    </row>
    <row r="3" ht="18.75" customHeight="1" s="133">
      <c r="B3" s="141" t="inlineStr">
        <is>
          <t>Riepilogo fabbisogno finanziario considerando contributi a fondo perduto</t>
        </is>
      </c>
    </row>
    <row r="5" ht="31.5" customHeight="1" s="133">
      <c r="B5" s="161" t="inlineStr">
        <is>
          <t>Anno</t>
        </is>
      </c>
      <c r="C5" s="161" t="inlineStr">
        <is>
          <t>CAPEX Totale</t>
        </is>
      </c>
      <c r="D5" s="161" t="inlineStr">
        <is>
          <t>Contributi FP</t>
        </is>
      </c>
      <c r="E5" s="161" t="inlineStr">
        <is>
          <t>Finanziamenti
Agev.</t>
        </is>
      </c>
      <c r="F5" s="161" t="inlineStr">
        <is>
          <t>CAPEX Netto</t>
        </is>
      </c>
      <c r="G5" s="161" t="inlineStr">
        <is>
          <t>OPEX Totale
(Boe + PUCK)</t>
        </is>
      </c>
      <c r="H5" s="161" t="inlineStr">
        <is>
          <t>Ricavi Totali
(Boe + PUCK)</t>
        </is>
      </c>
      <c r="I5" s="161" t="inlineStr">
        <is>
          <t>Cash Flow
Operativo</t>
        </is>
      </c>
      <c r="J5" s="161" t="inlineStr">
        <is>
          <t>Cash Flow
Netto</t>
        </is>
      </c>
    </row>
    <row r="6" ht="18.75" customHeight="1" s="133">
      <c r="B6" s="142" t="n">
        <v>2027</v>
      </c>
      <c r="C6" s="84">
        <f>'BP_Seainnova 2027_2032'!S6</f>
        <v/>
      </c>
      <c r="D6" s="85">
        <f>Assunzioni!C77</f>
        <v/>
      </c>
      <c r="E6" s="84" t="n">
        <v>0</v>
      </c>
      <c r="F6" s="84">
        <f>C6-D6-E6</f>
        <v/>
      </c>
      <c r="G6" s="84">
        <f>'BP_Seainnova 2027_2032'!R6</f>
        <v/>
      </c>
      <c r="H6" s="84">
        <f>'BP_Seainnova 2027_2032'!Q6</f>
        <v/>
      </c>
      <c r="I6" s="84">
        <f>'BP_Seainnova 2027_2032'!T6-C6</f>
        <v/>
      </c>
      <c r="J6" s="84">
        <f>I6+D6+E6</f>
        <v/>
      </c>
    </row>
    <row r="7">
      <c r="B7" s="142" t="n">
        <v>2028</v>
      </c>
      <c r="C7" s="84">
        <f>'BP_Seainnova 2027_2032'!S7</f>
        <v/>
      </c>
      <c r="D7" s="84" t="n">
        <v>0</v>
      </c>
      <c r="E7" s="84" t="n">
        <v>0</v>
      </c>
      <c r="F7" s="84">
        <f>C7-D7-E7</f>
        <v/>
      </c>
      <c r="G7" s="84">
        <f>'BP_Seainnova 2027_2032'!R7</f>
        <v/>
      </c>
      <c r="H7" s="84">
        <f>'BP_Seainnova 2027_2032'!Q7</f>
        <v/>
      </c>
      <c r="I7" s="84">
        <f>'BP_Seainnova 2027_2032'!T7-C7</f>
        <v/>
      </c>
      <c r="J7" s="84">
        <f>I7+D7+E7</f>
        <v/>
      </c>
    </row>
    <row r="8">
      <c r="B8" s="142" t="n">
        <v>2029</v>
      </c>
      <c r="C8" s="84">
        <f>'BP_Seainnova 2027_2032'!S8</f>
        <v/>
      </c>
      <c r="D8" s="84" t="n">
        <v>0</v>
      </c>
      <c r="E8" s="84" t="n">
        <v>0</v>
      </c>
      <c r="F8" s="84">
        <f>C8-D8-E8</f>
        <v/>
      </c>
      <c r="G8" s="84">
        <f>'BP_Seainnova 2027_2032'!R8</f>
        <v/>
      </c>
      <c r="H8" s="84">
        <f>'BP_Seainnova 2027_2032'!Q8</f>
        <v/>
      </c>
      <c r="I8" s="84">
        <f>'BP_Seainnova 2027_2032'!T8-C8</f>
        <v/>
      </c>
      <c r="J8" s="84">
        <f>I8+D8+E8</f>
        <v/>
      </c>
    </row>
    <row r="9">
      <c r="B9" s="142" t="n">
        <v>2030</v>
      </c>
      <c r="C9" s="84">
        <f>'BP_Seainnova 2027_2032'!S9</f>
        <v/>
      </c>
      <c r="D9" s="84" t="n">
        <v>0</v>
      </c>
      <c r="E9" s="84" t="n">
        <v>0</v>
      </c>
      <c r="F9" s="84">
        <f>C9-D9-E9</f>
        <v/>
      </c>
      <c r="G9" s="84">
        <f>'BP_Seainnova 2027_2032'!R9</f>
        <v/>
      </c>
      <c r="H9" s="84">
        <f>'BP_Seainnova 2027_2032'!Q9</f>
        <v/>
      </c>
      <c r="I9" s="84">
        <f>'BP_Seainnova 2027_2032'!T9-C9</f>
        <v/>
      </c>
      <c r="J9" s="84">
        <f>I9+D9+E9</f>
        <v/>
      </c>
    </row>
    <row r="10">
      <c r="B10" s="142" t="n">
        <v>2031</v>
      </c>
      <c r="C10" s="84">
        <f>'BP_Seainnova 2027_2032'!S10</f>
        <v/>
      </c>
      <c r="D10" s="84" t="n">
        <v>0</v>
      </c>
      <c r="E10" s="84" t="n">
        <v>0</v>
      </c>
      <c r="F10" s="84">
        <f>C10-D10-E10</f>
        <v/>
      </c>
      <c r="G10" s="84">
        <f>'BP_Seainnova 2027_2032'!R10</f>
        <v/>
      </c>
      <c r="H10" s="84">
        <f>'BP_Seainnova 2027_2032'!Q10</f>
        <v/>
      </c>
      <c r="I10" s="84">
        <f>'BP_Seainnova 2027_2032'!T10-C10</f>
        <v/>
      </c>
      <c r="J10" s="84">
        <f>I10+D10+E10</f>
        <v/>
      </c>
    </row>
    <row r="11">
      <c r="B11" s="142" t="n">
        <v>2032</v>
      </c>
      <c r="C11" s="84">
        <f>'BP_Seainnova 2027_2032'!S11</f>
        <v/>
      </c>
      <c r="D11" s="84" t="n">
        <v>0</v>
      </c>
      <c r="E11" s="84" t="n">
        <v>0</v>
      </c>
      <c r="F11" s="84">
        <f>C11-D11-E11</f>
        <v/>
      </c>
      <c r="G11" s="84">
        <f>'BP_Seainnova 2027_2032'!R11</f>
        <v/>
      </c>
      <c r="H11" s="84">
        <f>'BP_Seainnova 2027_2032'!Q11</f>
        <v/>
      </c>
      <c r="I11" s="84">
        <f>'BP_Seainnova 2027_2032'!T11-C11</f>
        <v/>
      </c>
      <c r="J11" s="84">
        <f>I11+D11+E11</f>
        <v/>
      </c>
    </row>
    <row r="12" ht="21" customFormat="1" customHeight="1" s="140">
      <c r="B12" s="140" t="inlineStr">
        <is>
          <t>TOTALE</t>
        </is>
      </c>
      <c r="C12" s="86">
        <f>SUM(C6:C11)</f>
        <v/>
      </c>
      <c r="D12" s="86">
        <f>SUM(D6:D11)</f>
        <v/>
      </c>
      <c r="E12" s="86">
        <f>SUM(E6:E11)</f>
        <v/>
      </c>
      <c r="F12" s="86">
        <f>SUM(F6:F11)</f>
        <v/>
      </c>
      <c r="G12" s="86">
        <f>SUM(G6:G11)</f>
        <v/>
      </c>
      <c r="H12" s="86">
        <f>SUM(H6:H11)</f>
        <v/>
      </c>
      <c r="I12" s="86">
        <f>SUM(I6:I11)</f>
        <v/>
      </c>
      <c r="J12" s="86">
        <f>SUM(J6:J11)</f>
        <v/>
      </c>
    </row>
    <row r="15" ht="18.75" customHeight="1" s="133">
      <c r="B15" s="143" t="inlineStr">
        <is>
          <t>📋 LEGENDA (consolidato Boe + PUCK B2B):</t>
        </is>
      </c>
    </row>
    <row r="16" ht="18.75" customHeight="1" s="133">
      <c r="B16" s="87" t="inlineStr">
        <is>
          <t>Cash Flow Operativo:</t>
        </is>
      </c>
      <c r="C16" s="88" t="inlineStr">
        <is>
          <t>EBITDA TOTALE (Ricavi tot - OPEX tot, include NaviGoo24/PUCK B2B) - CAPEX Totale</t>
        </is>
      </c>
    </row>
    <row r="17" ht="18.75" customHeight="1" s="133">
      <c r="B17" s="87" t="inlineStr">
        <is>
          <t>Contributi FP:</t>
        </is>
      </c>
      <c r="C17" s="88" t="inlineStr">
        <is>
          <t>Contributi a fondo perduto (es. PNRR 80%, ZES Sardegna)</t>
        </is>
      </c>
    </row>
    <row r="18" ht="18.75" customHeight="1" s="133">
      <c r="B18" s="87" t="inlineStr">
        <is>
          <t>Finanziamenti Agev.:</t>
        </is>
      </c>
      <c r="C18" s="88" t="inlineStr">
        <is>
          <t>Prestiti con tassi agevolati (se disponibili)</t>
        </is>
      </c>
    </row>
    <row r="19" ht="18.75" customHeight="1" s="133">
      <c r="B19" s="87" t="inlineStr">
        <is>
          <t>CAPEX Netto:</t>
        </is>
      </c>
      <c r="C19" s="88" t="inlineStr">
        <is>
          <t>Capitale da investire effettivamente (dopo contributi)</t>
        </is>
      </c>
    </row>
    <row r="20" ht="18.75" customHeight="1" s="133">
      <c r="B20" s="87" t="inlineStr">
        <is>
          <t>Cash Flow Netto:</t>
        </is>
      </c>
      <c r="C20" s="88" t="inlineStr">
        <is>
          <t>CF Operativo + Contributi a fondo perduto + Finanziamenti agevolati</t>
        </is>
      </c>
    </row>
  </sheetData>
  <mergeCells count="2">
    <mergeCell ref="B3:I3"/>
    <mergeCell ref="B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ED7D31"/>
    <outlinePr summaryBelow="1" summaryRight="1"/>
    <pageSetUpPr/>
  </sheetPr>
  <dimension ref="B2:J26"/>
  <sheetViews>
    <sheetView topLeftCell="A20" zoomScaleNormal="100" workbookViewId="0">
      <selection activeCell="M16" sqref="M16"/>
    </sheetView>
  </sheetViews>
  <sheetFormatPr baseColWidth="10" defaultColWidth="8.83203125" defaultRowHeight="18"/>
  <cols>
    <col width="8.83203125" customWidth="1" style="142" min="1" max="1"/>
    <col width="25" customWidth="1" style="142" min="2" max="2"/>
    <col width="14" customWidth="1" style="142" min="3" max="9"/>
    <col width="8.83203125" customWidth="1" style="142" min="10" max="10"/>
    <col width="8.83203125" customWidth="1" style="142" min="11" max="16384"/>
  </cols>
  <sheetData>
    <row r="2" ht="18.75" customHeight="1" s="133">
      <c r="B2" s="143" t="inlineStr">
        <is>
          <t>CONTO ECONOMICO DETTAGLIATO</t>
        </is>
      </c>
    </row>
    <row r="3" ht="18.75" customHeight="1" s="133">
      <c r="B3" s="141" t="inlineStr">
        <is>
          <t>📊 Calcolato automaticamente</t>
        </is>
      </c>
    </row>
    <row r="4">
      <c r="C4" s="142" t="inlineStr">
        <is>
          <t>Voce</t>
        </is>
      </c>
      <c r="D4" s="142" t="n">
        <v>2027</v>
      </c>
      <c r="E4" s="142" t="n">
        <v>2028</v>
      </c>
      <c r="F4" s="142" t="n">
        <v>2029</v>
      </c>
      <c r="G4" s="142" t="n">
        <v>2030</v>
      </c>
      <c r="H4" s="142" t="n">
        <v>2031</v>
      </c>
      <c r="I4" s="142" t="n">
        <v>2032</v>
      </c>
      <c r="J4" s="142" t="inlineStr">
        <is>
          <t>TOTALE</t>
        </is>
      </c>
    </row>
    <row r="5" ht="18.75" customHeight="1" s="133">
      <c r="C5" s="89" t="n"/>
      <c r="D5" s="89" t="n"/>
      <c r="E5" s="89" t="n"/>
      <c r="F5" s="89" t="n"/>
      <c r="G5" s="89" t="n"/>
      <c r="H5" s="89" t="n"/>
      <c r="I5" s="89" t="n"/>
    </row>
    <row r="6" ht="18.75" customHeight="1" s="133">
      <c r="B6" s="143" t="inlineStr">
        <is>
          <t>RICAVI</t>
        </is>
      </c>
    </row>
    <row r="7">
      <c r="B7" s="142" t="inlineStr">
        <is>
          <t>Tariffe ormeggio</t>
        </is>
      </c>
      <c r="C7" s="90">
        <f>'BP_Seainnova 2027_2032'!H6</f>
        <v/>
      </c>
      <c r="D7" s="90">
        <f>'BP_Seainnova 2027_2032'!H7</f>
        <v/>
      </c>
      <c r="E7" s="90">
        <f>'BP_Seainnova 2027_2032'!H8</f>
        <v/>
      </c>
      <c r="F7" s="90">
        <f>'BP_Seainnova 2027_2032'!H9</f>
        <v/>
      </c>
      <c r="G7" s="90">
        <f>'BP_Seainnova 2027_2032'!H10</f>
        <v/>
      </c>
      <c r="H7" s="90">
        <f>'BP_Seainnova 2027_2032'!H11</f>
        <v/>
      </c>
      <c r="I7" s="91">
        <f>SUM(C7:H7)</f>
        <v/>
      </c>
    </row>
    <row r="8">
      <c r="B8" t="inlineStr">
        <is>
          <t>Ricavi NaviGoo24 / PUCK B2B</t>
        </is>
      </c>
      <c r="C8">
        <f>'BP_Seainnova 2027_2032'!N6</f>
        <v/>
      </c>
      <c r="D8">
        <f>'BP_Seainnova 2027_2032'!N7</f>
        <v/>
      </c>
      <c r="E8">
        <f>'BP_Seainnova 2027_2032'!N8</f>
        <v/>
      </c>
      <c r="F8">
        <f>'BP_Seainnova 2027_2032'!N9</f>
        <v/>
      </c>
      <c r="G8">
        <f>'BP_Seainnova 2027_2032'!N10</f>
        <v/>
      </c>
      <c r="H8">
        <f>'BP_Seainnova 2027_2032'!N11</f>
        <v/>
      </c>
      <c r="I8">
        <f>SUM(C8:H8)</f>
        <v/>
      </c>
    </row>
    <row r="9" ht="18.75" customHeight="1" s="133">
      <c r="B9" s="162" t="inlineStr">
        <is>
          <t>TOTALE RICAVI</t>
        </is>
      </c>
      <c r="C9" s="162">
        <f>'BP_Seainnova 2027_2032'!Q6</f>
        <v/>
      </c>
      <c r="D9" s="162">
        <f>'BP_Seainnova 2027_2032'!Q7</f>
        <v/>
      </c>
      <c r="E9" s="162">
        <f>'BP_Seainnova 2027_2032'!Q8</f>
        <v/>
      </c>
      <c r="F9" s="162">
        <f>'BP_Seainnova 2027_2032'!Q9</f>
        <v/>
      </c>
      <c r="G9" s="162">
        <f>'BP_Seainnova 2027_2032'!Q10</f>
        <v/>
      </c>
      <c r="H9" s="162">
        <f>'BP_Seainnova 2027_2032'!Q11</f>
        <v/>
      </c>
      <c r="I9" s="162">
        <f>SUM(C9:H9)</f>
        <v/>
      </c>
    </row>
    <row r="11">
      <c r="B11" s="143" t="inlineStr">
        <is>
          <t>CAPEX BOE (non nel CE, a titolo informativo)</t>
        </is>
      </c>
    </row>
    <row r="12" ht="18.75" customHeight="1" s="133">
      <c r="B12" s="142" t="inlineStr">
        <is>
          <t>Acquisto boe (capitalizzato)</t>
        </is>
      </c>
      <c r="C12" s="90">
        <f>'BP_Seainnova 2027_2032'!I6</f>
        <v/>
      </c>
      <c r="D12" s="90">
        <f>'BP_Seainnova 2027_2032'!I7</f>
        <v/>
      </c>
      <c r="E12" s="90">
        <f>'BP_Seainnova 2027_2032'!I8</f>
        <v/>
      </c>
      <c r="F12" s="90">
        <f>'BP_Seainnova 2027_2032'!I9</f>
        <v/>
      </c>
      <c r="G12" s="90">
        <f>'BP_Seainnova 2027_2032'!I10</f>
        <v/>
      </c>
      <c r="H12" s="90">
        <f>'BP_Seainnova 2027_2032'!I11</f>
        <v/>
      </c>
      <c r="I12" s="91">
        <f>SUM(C12:H12)</f>
        <v/>
      </c>
    </row>
    <row r="14">
      <c r="B14" s="143" t="inlineStr">
        <is>
          <t>OPEX</t>
        </is>
      </c>
    </row>
    <row r="15" ht="18.75" customHeight="1" s="133">
      <c r="B15" s="142" t="inlineStr">
        <is>
          <t>OPEX Boe (ricorrenti + struttura)</t>
        </is>
      </c>
      <c r="C15" s="90">
        <f>'BP_Seainnova 2027_2032'!J6</f>
        <v/>
      </c>
      <c r="D15" s="90">
        <f>'BP_Seainnova 2027_2032'!J7</f>
        <v/>
      </c>
      <c r="E15" s="90">
        <f>'BP_Seainnova 2027_2032'!J8</f>
        <v/>
      </c>
      <c r="F15" s="90">
        <f>'BP_Seainnova 2027_2032'!J9</f>
        <v/>
      </c>
      <c r="G15" s="90">
        <f>'BP_Seainnova 2027_2032'!J10</f>
        <v/>
      </c>
      <c r="H15" s="90">
        <f>'BP_Seainnova 2027_2032'!J11</f>
        <v/>
      </c>
      <c r="I15" s="91">
        <f>SUM(C15:H15)</f>
        <v/>
      </c>
    </row>
    <row r="16">
      <c r="B16" t="inlineStr">
        <is>
          <t>OPEX NaviGoo24 / PUCK B2B</t>
        </is>
      </c>
      <c r="C16">
        <f>'BP_Seainnova 2027_2032'!O6</f>
        <v/>
      </c>
      <c r="D16">
        <f>'BP_Seainnova 2027_2032'!O7</f>
        <v/>
      </c>
      <c r="E16">
        <f>'BP_Seainnova 2027_2032'!O8</f>
        <v/>
      </c>
      <c r="F16">
        <f>'BP_Seainnova 2027_2032'!O9</f>
        <v/>
      </c>
      <c r="G16">
        <f>'BP_Seainnova 2027_2032'!O10</f>
        <v/>
      </c>
      <c r="H16">
        <f>'BP_Seainnova 2027_2032'!O11</f>
        <v/>
      </c>
      <c r="I16">
        <f>SUM(C16:H16)</f>
        <v/>
      </c>
    </row>
    <row r="17">
      <c r="B17" s="162" t="inlineStr">
        <is>
          <t>TOTALE OPEX</t>
        </is>
      </c>
      <c r="C17" s="162">
        <f>'BP_Seainnova 2027_2032'!R6</f>
        <v/>
      </c>
      <c r="D17" s="162">
        <f>'BP_Seainnova 2027_2032'!R7</f>
        <v/>
      </c>
      <c r="E17" s="162">
        <f>'BP_Seainnova 2027_2032'!R8</f>
        <v/>
      </c>
      <c r="F17" s="162">
        <f>'BP_Seainnova 2027_2032'!R9</f>
        <v/>
      </c>
      <c r="G17" s="162">
        <f>'BP_Seainnova 2027_2032'!R10</f>
        <v/>
      </c>
      <c r="H17" s="162">
        <f>'BP_Seainnova 2027_2032'!R11</f>
        <v/>
      </c>
      <c r="I17" s="162">
        <f>SUM(C17:H17)</f>
        <v/>
      </c>
    </row>
    <row r="19">
      <c r="B19" s="143" t="inlineStr">
        <is>
          <t>EBITDA</t>
        </is>
      </c>
    </row>
    <row r="20">
      <c r="B20" s="142" t="inlineStr">
        <is>
          <t>EBITDA TOTALE (Ricavi tot - OPEX tot)</t>
        </is>
      </c>
      <c r="C20" s="90">
        <f>'BP_Seainnova 2027_2032'!T6</f>
        <v/>
      </c>
      <c r="D20" s="90">
        <f>'BP_Seainnova 2027_2032'!T7</f>
        <v/>
      </c>
      <c r="E20" s="90">
        <f>'BP_Seainnova 2027_2032'!T8</f>
        <v/>
      </c>
      <c r="F20" s="90">
        <f>'BP_Seainnova 2027_2032'!T9</f>
        <v/>
      </c>
      <c r="G20" s="90">
        <f>'BP_Seainnova 2027_2032'!T10</f>
        <v/>
      </c>
      <c r="H20" s="90">
        <f>'BP_Seainnova 2027_2032'!T11</f>
        <v/>
      </c>
      <c r="I20" s="91">
        <f>SUM(C20:H20)</f>
        <v/>
      </c>
    </row>
    <row r="21" ht="18.75" customHeight="1" s="133">
      <c r="B21" s="142" t="inlineStr">
        <is>
          <t>Margine %</t>
        </is>
      </c>
      <c r="C21" s="92">
        <f>IF(C9=0,0,C20/C9)</f>
        <v/>
      </c>
      <c r="D21" s="92">
        <f>IF(D9=0,0,D20/D9)</f>
        <v/>
      </c>
      <c r="E21" s="92">
        <f>IF(E9=0,0,E20/E9)</f>
        <v/>
      </c>
      <c r="F21" s="92">
        <f>IF(F9=0,0,F20/F9)</f>
        <v/>
      </c>
      <c r="G21" s="92">
        <f>IF(G9=0,0,G20/G9)</f>
        <v/>
      </c>
      <c r="H21" s="92">
        <f>IF(H9=0,0,H20/H9)</f>
        <v/>
      </c>
      <c r="I21" s="92">
        <f>IF(I9=0,0,I20/I9)</f>
        <v/>
      </c>
    </row>
    <row r="22">
      <c r="B22" s="142" t="inlineStr">
        <is>
          <t>Ammortamenti</t>
        </is>
      </c>
      <c r="C22" s="84">
        <f>'BP_Seainnova 2027_2032'!K6</f>
        <v/>
      </c>
      <c r="D22" s="84">
        <f>'BP_Seainnova 2027_2032'!K7</f>
        <v/>
      </c>
      <c r="E22" s="84">
        <f>'BP_Seainnova 2027_2032'!K8</f>
        <v/>
      </c>
      <c r="F22" s="84">
        <f>'BP_Seainnova 2027_2032'!K9</f>
        <v/>
      </c>
      <c r="G22" s="84">
        <f>'BP_Seainnova 2027_2032'!K10</f>
        <v/>
      </c>
      <c r="H22" s="84">
        <f>'BP_Seainnova 2027_2032'!K11</f>
        <v/>
      </c>
      <c r="I22" s="84">
        <f>SUM(C22:H22)</f>
        <v/>
      </c>
    </row>
    <row r="23">
      <c r="B23" s="142" t="inlineStr">
        <is>
          <t>EBIT</t>
        </is>
      </c>
      <c r="C23" s="90">
        <f>C20-C22</f>
        <v/>
      </c>
      <c r="D23" s="90">
        <f>D20-D22</f>
        <v/>
      </c>
      <c r="E23" s="90">
        <f>E20-E22</f>
        <v/>
      </c>
      <c r="F23" s="90">
        <f>F20-F22</f>
        <v/>
      </c>
      <c r="G23" s="90">
        <f>G20-G22</f>
        <v/>
      </c>
      <c r="H23" s="90">
        <f>H20-H22</f>
        <v/>
      </c>
      <c r="I23" s="90">
        <f>SUM(C23:H23)</f>
        <v/>
      </c>
    </row>
    <row r="25">
      <c r="B25" s="143" t="inlineStr">
        <is>
          <t>CASH FLOW OPERATIVO</t>
        </is>
      </c>
    </row>
    <row r="26">
      <c r="B26" s="142" t="inlineStr">
        <is>
          <t>Cash Flow Operativo (EBITDA Tot - CAPEX Tot)</t>
        </is>
      </c>
      <c r="C26" s="90">
        <f>'BP_Seainnova 2027_2032'!T6-'BP_Seainnova 2027_2032'!S6</f>
        <v/>
      </c>
      <c r="D26" s="90">
        <f>'BP_Seainnova 2027_2032'!T7-'BP_Seainnova 2027_2032'!S7</f>
        <v/>
      </c>
      <c r="E26" s="90">
        <f>'BP_Seainnova 2027_2032'!T8-'BP_Seainnova 2027_2032'!S8</f>
        <v/>
      </c>
      <c r="F26" s="90">
        <f>'BP_Seainnova 2027_2032'!T9-'BP_Seainnova 2027_2032'!S9</f>
        <v/>
      </c>
      <c r="G26" s="90">
        <f>'BP_Seainnova 2027_2032'!T10-'BP_Seainnova 2027_2032'!S10</f>
        <v/>
      </c>
      <c r="H26" s="90">
        <f>'BP_Seainnova 2027_2032'!T11-'BP_Seainnova 2027_2032'!S11</f>
        <v/>
      </c>
      <c r="I26" s="90">
        <f>SUM(C26:H26)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A6A6A6"/>
    <outlinePr summaryBelow="1" summaryRight="1"/>
    <pageSetUpPr/>
  </sheetPr>
  <dimension ref="B2:C16"/>
  <sheetViews>
    <sheetView zoomScaleNormal="100" workbookViewId="0">
      <selection activeCell="B17" sqref="B17"/>
    </sheetView>
  </sheetViews>
  <sheetFormatPr baseColWidth="10" defaultColWidth="8.83203125" defaultRowHeight="18"/>
  <cols>
    <col width="8.83203125" customWidth="1" style="142" min="1" max="1"/>
    <col width="27" customWidth="1" style="142" min="2" max="2"/>
    <col width="108" customWidth="1" style="142" min="3" max="3"/>
    <col width="8.83203125" customWidth="1" style="142" min="4" max="4"/>
    <col width="8.83203125" customWidth="1" style="142" min="5" max="16384"/>
  </cols>
  <sheetData>
    <row r="2" ht="30" customFormat="1" customHeight="1" s="93">
      <c r="B2" s="94" t="inlineStr">
        <is>
          <t>GLOSSARIO E DEFINIZIONI</t>
        </is>
      </c>
    </row>
    <row r="3" ht="18.75" customHeight="1" s="133">
      <c r="B3" s="87" t="n"/>
    </row>
    <row r="4" ht="18.75" customHeight="1" s="133">
      <c r="B4" s="89" t="inlineStr">
        <is>
          <t>Termine</t>
        </is>
      </c>
      <c r="C4" s="89" t="inlineStr">
        <is>
          <t>Definizione</t>
        </is>
      </c>
    </row>
    <row r="5" ht="18.75" customHeight="1" s="133">
      <c r="B5" s="87" t="inlineStr">
        <is>
          <t>Boa da ormeggio</t>
        </is>
      </c>
      <c r="C5" s="142" t="inlineStr">
        <is>
          <t>Sistema fisico per ancoraggio imbarcazioni, composto da boa galleggiante, catena e corpo morto</t>
        </is>
      </c>
    </row>
    <row r="6" ht="18.75" customHeight="1" s="133">
      <c r="B6" s="87" t="inlineStr">
        <is>
          <t>Corpo vivo</t>
        </is>
      </c>
      <c r="C6" s="142" t="inlineStr">
        <is>
          <t>Elemento in granito eco-compatibile sul fondale che favorisce biodiversità marina</t>
        </is>
      </c>
    </row>
    <row r="7" ht="18.75" customHeight="1" s="133">
      <c r="B7" s="87" t="inlineStr">
        <is>
          <t>Occupancy</t>
        </is>
      </c>
      <c r="C7" s="142" t="inlineStr">
        <is>
          <t>Percentuale di utilizzo effettivo della boa rispetto ai giorni operativi disponibili</t>
        </is>
      </c>
    </row>
    <row r="8" ht="18.75" customHeight="1" s="133">
      <c r="B8" s="87" t="inlineStr">
        <is>
          <t>PUCK App</t>
        </is>
      </c>
      <c r="C8" s="142" t="inlineStr">
        <is>
          <t>Applicazione mobile Seainnova per prenotazione, pagamento e gestione ormeggi</t>
        </is>
      </c>
    </row>
    <row r="9" ht="18.75" customHeight="1" s="133">
      <c r="B9" s="87" t="inlineStr">
        <is>
          <t>Tariffa uso</t>
        </is>
      </c>
      <c r="C9" s="142" t="inlineStr">
        <is>
          <t>Costo per singolo ormeggio/utilizzo della boa</t>
        </is>
      </c>
    </row>
    <row r="10" ht="18.75" customHeight="1" s="133">
      <c r="B10" s="87" t="inlineStr">
        <is>
          <t>OPEX</t>
        </is>
      </c>
      <c r="C10" s="142" t="inlineStr">
        <is>
          <t>Operating Expenses - Costi operativi ricorrenti</t>
        </is>
      </c>
    </row>
    <row r="11" ht="18.75" customHeight="1" s="133">
      <c r="B11" s="87" t="inlineStr">
        <is>
          <t>CAPEX</t>
        </is>
      </c>
      <c r="C11" s="142" t="inlineStr">
        <is>
          <t>Capital Expenditure - Investimenti in asset</t>
        </is>
      </c>
    </row>
    <row r="12" ht="18.75" customHeight="1" s="133">
      <c r="B12" s="87" t="inlineStr">
        <is>
          <t>EBITDA</t>
        </is>
      </c>
      <c r="C12" s="142" t="inlineStr">
        <is>
          <t>Earnings Before Interest, Taxes, Depreciation, Amortization</t>
        </is>
      </c>
    </row>
    <row r="13" ht="18.75" customHeight="1" s="133">
      <c r="B13" s="87" t="inlineStr">
        <is>
          <t>Break-even</t>
        </is>
      </c>
      <c r="C13" s="142" t="inlineStr">
        <is>
          <t>Punto di pareggio dove ricavi = costi totali</t>
        </is>
      </c>
    </row>
    <row r="14" ht="18.75" customHeight="1" s="133">
      <c r="B14" s="87" t="inlineStr">
        <is>
          <t>AMP</t>
        </is>
      </c>
      <c r="C14" s="142" t="inlineStr">
        <is>
          <t>Area Marina Protetta</t>
        </is>
      </c>
    </row>
    <row r="15" ht="18.75" customHeight="1" s="133">
      <c r="B15" s="87" t="inlineStr">
        <is>
          <t>PNRR</t>
        </is>
      </c>
      <c r="C15" s="142" t="inlineStr">
        <is>
          <t>Piano Nazionale Ripresa e Resilienza</t>
        </is>
      </c>
    </row>
    <row r="16" ht="18.75" customHeight="1" s="133">
      <c r="B16" s="87" t="inlineStr">
        <is>
          <t>ZES</t>
        </is>
      </c>
      <c r="C16" s="142" t="inlineStr">
        <is>
          <t>Zona Economica Speciale - Sardegna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T11"/>
  <sheetViews>
    <sheetView zoomScaleNormal="100" workbookViewId="0">
      <selection activeCell="T9" sqref="T9:T10"/>
    </sheetView>
  </sheetViews>
  <sheetFormatPr baseColWidth="10" defaultColWidth="8.83203125" defaultRowHeight="21"/>
  <cols>
    <col width="8" customWidth="1" style="140" min="1" max="1"/>
    <col width="13.5" customWidth="1" style="140" min="2" max="3"/>
    <col width="10.33203125" customWidth="1" style="140" min="4" max="4"/>
    <col width="14.6640625" customWidth="1" style="140" min="5" max="5"/>
    <col width="16" customWidth="1" style="140" min="6" max="6"/>
    <col width="9.5" customWidth="1" style="140" min="7" max="7"/>
    <col width="14.1640625" customWidth="1" style="140" min="8" max="8"/>
    <col width="15.5" customWidth="1" style="140" min="9" max="9"/>
    <col width="11.33203125" customWidth="1" style="140" min="10" max="10"/>
    <col width="11.6640625" customWidth="1" style="140" min="11" max="12"/>
    <col width="13.6640625" customWidth="1" style="140" min="13" max="13"/>
    <col width="11.33203125" customWidth="1" style="140" min="14" max="15"/>
    <col width="10.33203125" customWidth="1" style="140" min="16" max="16"/>
    <col width="11.5" customWidth="1" style="140" min="17" max="19"/>
    <col width="12.6640625" customWidth="1" style="140" min="20" max="20"/>
    <col width="8.83203125" customWidth="1" style="140" min="21" max="21"/>
    <col width="8.83203125" customWidth="1" style="140" min="22" max="16384"/>
  </cols>
  <sheetData>
    <row r="1" ht="30" customFormat="1" customHeight="1" s="145">
      <c r="A1" s="144" t="inlineStr">
        <is>
          <t>PUCK B2B - BREAKDOWN DETTAGLIATO</t>
        </is>
      </c>
    </row>
    <row r="2" ht="30" customFormat="1" customHeight="1" s="145">
      <c r="A2" s="146" t="inlineStr">
        <is>
          <t>Scenario B Ottimizzato - VALORI DINAMICI da foglio Assunzioni</t>
        </is>
      </c>
    </row>
    <row r="4" ht="39.75" customHeight="1" s="133">
      <c r="A4" s="96" t="inlineStr">
        <is>
          <t>Anno</t>
        </is>
      </c>
      <c r="B4" s="96" t="inlineStr">
        <is>
          <t>Contratti
Totali</t>
        </is>
      </c>
      <c r="C4" s="96" t="inlineStr">
        <is>
          <t>Penetr.
Mercato %</t>
        </is>
      </c>
      <c r="D4" s="96" t="inlineStr">
        <is>
          <t>N° Basic</t>
        </is>
      </c>
      <c r="E4" s="96" t="inlineStr">
        <is>
          <t>N° Premium</t>
        </is>
      </c>
      <c r="F4" s="96" t="inlineStr">
        <is>
          <t>N° Enterprise</t>
        </is>
      </c>
      <c r="G4" s="96" t="inlineStr">
        <is>
          <t>% Basic</t>
        </is>
      </c>
      <c r="H4" s="96" t="inlineStr">
        <is>
          <t>% Premium</t>
        </is>
      </c>
      <c r="I4" s="96" t="inlineStr">
        <is>
          <t>% Enterprise</t>
        </is>
      </c>
      <c r="J4" s="96" t="inlineStr">
        <is>
          <t>Ricavi
Basic €</t>
        </is>
      </c>
      <c r="K4" s="96" t="inlineStr">
        <is>
          <t>Ricavi
Premium €</t>
        </is>
      </c>
      <c r="L4" s="96" t="inlineStr">
        <is>
          <t>Ricavi
Enterprise €</t>
        </is>
      </c>
      <c r="M4" s="96" t="inlineStr">
        <is>
          <t>TOTALE
RICAVI €</t>
        </is>
      </c>
      <c r="N4" s="96" t="inlineStr">
        <is>
          <t>OPEX
SW €</t>
        </is>
      </c>
      <c r="O4" s="96" t="inlineStr">
        <is>
          <t>OPEX
Marketing €</t>
        </is>
      </c>
      <c r="P4" s="96" t="inlineStr">
        <is>
          <t>OPEX
Infrastr. €</t>
        </is>
      </c>
      <c r="Q4" s="96" t="inlineStr">
        <is>
          <t>OPEX
Vendita €</t>
        </is>
      </c>
      <c r="R4" s="96" t="inlineStr">
        <is>
          <t>TOTALE
OPEX €</t>
        </is>
      </c>
      <c r="S4" s="96" t="inlineStr">
        <is>
          <t>EBITDA €</t>
        </is>
      </c>
      <c r="T4" s="96" t="inlineStr">
        <is>
          <t>Margine
%</t>
        </is>
      </c>
    </row>
    <row r="5">
      <c r="A5" s="140" t="n">
        <v>2027</v>
      </c>
      <c r="B5" s="97">
        <f>Assunzioni!C129</f>
        <v/>
      </c>
      <c r="C5" s="98">
        <f>B5/1020</f>
        <v/>
      </c>
      <c r="D5" s="97">
        <f>Assunzioni!D129</f>
        <v/>
      </c>
      <c r="E5" s="97">
        <f>Assunzioni!E129</f>
        <v/>
      </c>
      <c r="F5" s="97">
        <f>Assunzioni!F129</f>
        <v/>
      </c>
      <c r="G5" s="98">
        <f>D5/B5</f>
        <v/>
      </c>
      <c r="H5" s="98">
        <f>E5/B5</f>
        <v/>
      </c>
      <c r="I5" s="98">
        <f>F5/B5</f>
        <v/>
      </c>
      <c r="J5" s="97">
        <f>D5*Assunzioni!$C$123*12</f>
        <v/>
      </c>
      <c r="K5" s="97">
        <f>E5*Assunzioni!$C$124*12</f>
        <v/>
      </c>
      <c r="L5" s="97">
        <f>F5*Assunzioni!$C$125*12</f>
        <v/>
      </c>
      <c r="M5" s="97">
        <f>J5+K5+L5</f>
        <v/>
      </c>
      <c r="N5" s="97">
        <f>Assunzioni!C137</f>
        <v/>
      </c>
      <c r="O5" s="97">
        <f>Assunzioni!D137</f>
        <v/>
      </c>
      <c r="P5" s="97">
        <f>Assunzioni!E137</f>
        <v/>
      </c>
      <c r="Q5" s="97">
        <f>Assunzioni!F137</f>
        <v/>
      </c>
      <c r="R5" s="97">
        <f>N5+O5+P5+Q5</f>
        <v/>
      </c>
      <c r="S5" s="97">
        <f>M5-R5</f>
        <v/>
      </c>
      <c r="T5" s="98">
        <f>IF(M5&gt;0,S5/M5,0)</f>
        <v/>
      </c>
    </row>
    <row r="6">
      <c r="A6" s="140" t="n">
        <v>2028</v>
      </c>
      <c r="B6" s="97">
        <f>Assunzioni!C130</f>
        <v/>
      </c>
      <c r="C6" s="98">
        <f>B6/1020</f>
        <v/>
      </c>
      <c r="D6" s="97">
        <f>Assunzioni!D130</f>
        <v/>
      </c>
      <c r="E6" s="97">
        <f>Assunzioni!E130</f>
        <v/>
      </c>
      <c r="F6" s="97">
        <f>Assunzioni!F130</f>
        <v/>
      </c>
      <c r="G6" s="98">
        <f>D6/B6</f>
        <v/>
      </c>
      <c r="H6" s="98">
        <f>E6/B6</f>
        <v/>
      </c>
      <c r="I6" s="98">
        <f>F6/B6</f>
        <v/>
      </c>
      <c r="J6" s="97">
        <f>D6*Assunzioni!$C$123*12</f>
        <v/>
      </c>
      <c r="K6" s="97">
        <f>E6*Assunzioni!$C$124*12</f>
        <v/>
      </c>
      <c r="L6" s="97">
        <f>F6*Assunzioni!$C$125*12</f>
        <v/>
      </c>
      <c r="M6" s="97">
        <f>J6+K6+L6</f>
        <v/>
      </c>
      <c r="N6" s="97">
        <f>Assunzioni!C138</f>
        <v/>
      </c>
      <c r="O6" s="97">
        <f>Assunzioni!D138</f>
        <v/>
      </c>
      <c r="P6" s="97">
        <f>Assunzioni!E138</f>
        <v/>
      </c>
      <c r="Q6" s="97">
        <f>Assunzioni!F138</f>
        <v/>
      </c>
      <c r="R6" s="97">
        <f>N6+O6+P6+Q6</f>
        <v/>
      </c>
      <c r="S6" s="97">
        <f>M6-R6</f>
        <v/>
      </c>
      <c r="T6" s="98">
        <f>IF(M6&gt;0,S6/M6,0)</f>
        <v/>
      </c>
    </row>
    <row r="7">
      <c r="A7" s="140" t="n">
        <v>2029</v>
      </c>
      <c r="B7" s="97">
        <f>Assunzioni!C131</f>
        <v/>
      </c>
      <c r="C7" s="98">
        <f>B7/1020</f>
        <v/>
      </c>
      <c r="D7" s="97">
        <f>Assunzioni!D131</f>
        <v/>
      </c>
      <c r="E7" s="97">
        <f>Assunzioni!E131</f>
        <v/>
      </c>
      <c r="F7" s="97">
        <f>Assunzioni!F131</f>
        <v/>
      </c>
      <c r="G7" s="98">
        <f>D7/B7</f>
        <v/>
      </c>
      <c r="H7" s="98">
        <f>E7/B7</f>
        <v/>
      </c>
      <c r="I7" s="98">
        <f>F7/B7</f>
        <v/>
      </c>
      <c r="J7" s="97">
        <f>D7*Assunzioni!$C$123*12</f>
        <v/>
      </c>
      <c r="K7" s="97">
        <f>E7*Assunzioni!$C$124*12</f>
        <v/>
      </c>
      <c r="L7" s="97">
        <f>F7*Assunzioni!$C$125*12</f>
        <v/>
      </c>
      <c r="M7" s="97">
        <f>J7+K7+L7</f>
        <v/>
      </c>
      <c r="N7" s="97">
        <f>Assunzioni!C139</f>
        <v/>
      </c>
      <c r="O7" s="97">
        <f>Assunzioni!D139</f>
        <v/>
      </c>
      <c r="P7" s="97">
        <f>Assunzioni!E139</f>
        <v/>
      </c>
      <c r="Q7" s="97">
        <f>Assunzioni!F139</f>
        <v/>
      </c>
      <c r="R7" s="97">
        <f>N7+O7+P7+Q7</f>
        <v/>
      </c>
      <c r="S7" s="97">
        <f>M7-R7</f>
        <v/>
      </c>
      <c r="T7" s="98">
        <f>IF(M7&gt;0,S7/M7,0)</f>
        <v/>
      </c>
    </row>
    <row r="8">
      <c r="A8" s="140" t="n">
        <v>2030</v>
      </c>
      <c r="B8" s="97">
        <f>Assunzioni!C132</f>
        <v/>
      </c>
      <c r="C8" s="98">
        <f>B8/1020</f>
        <v/>
      </c>
      <c r="D8" s="97">
        <f>Assunzioni!D132</f>
        <v/>
      </c>
      <c r="E8" s="97">
        <f>Assunzioni!E132</f>
        <v/>
      </c>
      <c r="F8" s="97">
        <f>Assunzioni!F132</f>
        <v/>
      </c>
      <c r="G8" s="98">
        <f>D8/B8</f>
        <v/>
      </c>
      <c r="H8" s="98">
        <f>E8/B8</f>
        <v/>
      </c>
      <c r="I8" s="98">
        <f>F8/B8</f>
        <v/>
      </c>
      <c r="J8" s="97">
        <f>D8*Assunzioni!$C$123*12</f>
        <v/>
      </c>
      <c r="K8" s="97">
        <f>E8*Assunzioni!$C$124*12</f>
        <v/>
      </c>
      <c r="L8" s="97">
        <f>F8*Assunzioni!$C$125*12</f>
        <v/>
      </c>
      <c r="M8" s="97">
        <f>J8+K8+L8</f>
        <v/>
      </c>
      <c r="N8" s="97">
        <f>Assunzioni!C140</f>
        <v/>
      </c>
      <c r="O8" s="97">
        <f>Assunzioni!D140</f>
        <v/>
      </c>
      <c r="P8" s="97">
        <f>Assunzioni!E140</f>
        <v/>
      </c>
      <c r="Q8" s="97">
        <f>Assunzioni!F140</f>
        <v/>
      </c>
      <c r="R8" s="97">
        <f>N8+O8+P8+Q8</f>
        <v/>
      </c>
      <c r="S8" s="97">
        <f>M8-R8</f>
        <v/>
      </c>
      <c r="T8" s="98">
        <f>IF(M8&gt;0,S8/M8,0)</f>
        <v/>
      </c>
    </row>
    <row r="9">
      <c r="A9" s="140" t="n">
        <v>2031</v>
      </c>
      <c r="B9" s="97">
        <f>Assunzioni!C133</f>
        <v/>
      </c>
      <c r="C9" s="98">
        <f>B9/1020</f>
        <v/>
      </c>
      <c r="D9" s="97">
        <f>Assunzioni!D133</f>
        <v/>
      </c>
      <c r="E9" s="97">
        <f>Assunzioni!E133</f>
        <v/>
      </c>
      <c r="F9" s="97">
        <f>Assunzioni!F133</f>
        <v/>
      </c>
      <c r="G9" s="98">
        <f>D9/B9</f>
        <v/>
      </c>
      <c r="H9" s="98">
        <f>E9/B9</f>
        <v/>
      </c>
      <c r="I9" s="98">
        <f>F9/B9</f>
        <v/>
      </c>
      <c r="J9" s="97">
        <f>D9*Assunzioni!$C$123*12</f>
        <v/>
      </c>
      <c r="K9" s="97">
        <f>E9*Assunzioni!$C$124*12</f>
        <v/>
      </c>
      <c r="L9" s="97">
        <f>F9*Assunzioni!$C$125*12</f>
        <v/>
      </c>
      <c r="M9" s="97">
        <f>J9+K9+L9</f>
        <v/>
      </c>
      <c r="N9" s="97">
        <f>Assunzioni!C141</f>
        <v/>
      </c>
      <c r="O9" s="97">
        <f>Assunzioni!D141</f>
        <v/>
      </c>
      <c r="P9" s="97">
        <f>Assunzioni!E141</f>
        <v/>
      </c>
      <c r="Q9" s="97">
        <f>Assunzioni!F141</f>
        <v/>
      </c>
      <c r="R9" s="97">
        <f>N9+O9+P9+Q9</f>
        <v/>
      </c>
      <c r="S9" s="97">
        <f>M9-R9</f>
        <v/>
      </c>
      <c r="T9" s="98">
        <f>IF(M9&gt;0,S9/M9,0)</f>
        <v/>
      </c>
    </row>
    <row r="10">
      <c r="A10" s="140" t="n">
        <v>2032</v>
      </c>
      <c r="B10" s="97">
        <f>Assunzioni!C134</f>
        <v/>
      </c>
      <c r="C10" s="98">
        <f>B10/1020</f>
        <v/>
      </c>
      <c r="D10" s="97">
        <f>Assunzioni!D134</f>
        <v/>
      </c>
      <c r="E10" s="97">
        <f>Assunzioni!E134</f>
        <v/>
      </c>
      <c r="F10" s="97">
        <f>Assunzioni!F134</f>
        <v/>
      </c>
      <c r="G10" s="98">
        <f>D10/B10</f>
        <v/>
      </c>
      <c r="H10" s="98">
        <f>E10/B10</f>
        <v/>
      </c>
      <c r="I10" s="98">
        <f>F10/B10</f>
        <v/>
      </c>
      <c r="J10" s="97">
        <f>D10*Assunzioni!$C$123*12</f>
        <v/>
      </c>
      <c r="K10" s="97">
        <f>E10*Assunzioni!$C$124*12</f>
        <v/>
      </c>
      <c r="L10" s="97">
        <f>F10*Assunzioni!$C$125*12</f>
        <v/>
      </c>
      <c r="M10" s="97">
        <f>J10+K10+L10</f>
        <v/>
      </c>
      <c r="N10" s="97">
        <f>Assunzioni!C142</f>
        <v/>
      </c>
      <c r="O10" s="97">
        <f>Assunzioni!D142</f>
        <v/>
      </c>
      <c r="P10" s="97">
        <f>Assunzioni!E142</f>
        <v/>
      </c>
      <c r="Q10" s="97">
        <f>Assunzioni!F142</f>
        <v/>
      </c>
      <c r="R10" s="97">
        <f>N10+O10+P10+Q10</f>
        <v/>
      </c>
      <c r="S10" s="97">
        <f>M10-R10</f>
        <v/>
      </c>
      <c r="T10" s="98">
        <f>IF(M10&gt;0,S10/M10,0)</f>
        <v/>
      </c>
    </row>
    <row r="11">
      <c r="A11" s="75" t="inlineStr">
        <is>
          <t>TOTALE 6 ANNI</t>
        </is>
      </c>
      <c r="B11" s="99">
        <f>SUM(B5:B10)</f>
        <v/>
      </c>
      <c r="D11" s="99">
        <f>SUM(D5:D10)</f>
        <v/>
      </c>
      <c r="E11" s="99">
        <f>SUM(E5:E10)</f>
        <v/>
      </c>
      <c r="F11" s="99">
        <f>SUM(F5:F10)</f>
        <v/>
      </c>
      <c r="J11" s="99">
        <f>SUM(J5:J10)</f>
        <v/>
      </c>
      <c r="K11" s="99">
        <f>SUM(K5:K10)</f>
        <v/>
      </c>
      <c r="L11" s="99">
        <f>SUM(L5:L10)</f>
        <v/>
      </c>
      <c r="M11" s="99">
        <f>SUM(M5:M10)</f>
        <v/>
      </c>
      <c r="N11" s="99">
        <f>SUM(N5:N10)</f>
        <v/>
      </c>
      <c r="O11" s="99">
        <f>SUM(O5:O10)</f>
        <v/>
      </c>
      <c r="P11" s="99">
        <f>SUM(P5:P10)</f>
        <v/>
      </c>
      <c r="Q11" s="99">
        <f>SUM(Q5:Q10)</f>
        <v/>
      </c>
      <c r="R11" s="99">
        <f>SUM(R5:R10)</f>
        <v/>
      </c>
      <c r="S11" s="99">
        <f>SUM(S5:S10)</f>
        <v/>
      </c>
      <c r="T11" s="100">
        <f>S11/M11</f>
        <v/>
      </c>
    </row>
  </sheetData>
  <mergeCells count="2">
    <mergeCell ref="A1:T1"/>
    <mergeCell ref="A2:T2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FFC000"/>
    <outlinePr summaryBelow="1" summaryRight="1"/>
    <pageSetUpPr/>
  </sheetPr>
  <dimension ref="A1:A1"/>
  <sheetViews>
    <sheetView zoomScaleNormal="100" workbookViewId="0">
      <selection activeCell="I7" sqref="I7"/>
    </sheetView>
  </sheetViews>
  <sheetFormatPr baseColWidth="10" defaultColWidth="8.83203125" defaultRowHeight="15"/>
  <cols>
    <col width="19" customWidth="1" style="133" min="1" max="1"/>
  </cols>
  <sheetData>
    <row r="1" ht="18.75" customHeight="1" s="133">
      <c r="A1" s="87" t="inlineStr">
        <is>
          <t>GRAFICI PUCK B2B</t>
        </is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C00000"/>
    <outlinePr summaryBelow="1" summaryRight="1"/>
    <pageSetUpPr/>
  </sheetPr>
  <dimension ref="B1:G10"/>
  <sheetViews>
    <sheetView topLeftCell="A2" zoomScaleNormal="100" workbookViewId="0">
      <selection activeCell="G11" sqref="G11"/>
    </sheetView>
  </sheetViews>
  <sheetFormatPr baseColWidth="10" defaultColWidth="8.83203125" defaultRowHeight="15"/>
  <cols>
    <col width="17.83203125" customWidth="1" style="133" min="7" max="7"/>
  </cols>
  <sheetData>
    <row r="1">
      <c r="B1" t="inlineStr">
        <is>
          <t>TORNA ALL'INDICE</t>
        </is>
      </c>
    </row>
    <row r="2" ht="21" customHeight="1" s="133">
      <c r="B2" s="75" t="inlineStr">
        <is>
          <t>ANALISI DI RESILIENZA E BREAK-EVEN POINT</t>
        </is>
      </c>
    </row>
    <row r="4">
      <c r="B4" s="101" t="inlineStr">
        <is>
          <t>Anno</t>
        </is>
      </c>
      <c r="C4" s="101" t="inlineStr">
        <is>
          <t>Boe Effettive</t>
        </is>
      </c>
      <c r="D4" s="101" t="inlineStr">
        <is>
          <t>BEP Scenario Base (Boe)</t>
        </is>
      </c>
      <c r="E4" s="101" t="inlineStr">
        <is>
          <t>BEP +15% Costi Fissi (Boe)</t>
        </is>
      </c>
      <c r="F4" s="101" t="inlineStr">
        <is>
          <t>BEP +10% Costi Var (Boe)</t>
        </is>
      </c>
      <c r="G4" s="101" t="inlineStr">
        <is>
          <t>Margine Sicurezza (%)</t>
        </is>
      </c>
    </row>
    <row r="5">
      <c r="B5" t="n">
        <v>2027</v>
      </c>
      <c r="C5" t="n">
        <v>15</v>
      </c>
      <c r="D5">
        <f>(Assunzioni!$C$27*(1+Assunzioni!$C$28/100)^0)/('BP_Seainnova 2027_2032'!H6/'BP_Seainnova 2027_2032'!C6-Assunzioni!$C$46)</f>
        <v/>
      </c>
      <c r="E5">
        <f>(Assunzioni!$C$27*(1+Assunzioni!$C$28/100)^0*1.15)/('BP_Seainnova 2027_2032'!H6/'BP_Seainnova 2027_2032'!C6-Assunzioni!$C$46)</f>
        <v/>
      </c>
      <c r="F5">
        <f>(Assunzioni!$C$27*(1+Assunzioni!$C$28/100)^0)/('BP_Seainnova 2027_2032'!H6/'BP_Seainnova 2027_2032'!C6-Assunzioni!$C$46*1.1)</f>
        <v/>
      </c>
      <c r="G5" s="102">
        <f>(C5-D5)/C5</f>
        <v/>
      </c>
    </row>
    <row r="6">
      <c r="B6" t="n">
        <v>2028</v>
      </c>
      <c r="C6" t="n">
        <v>75</v>
      </c>
      <c r="D6">
        <f>(Assunzioni!$C$27*(1+Assunzioni!$C$28/100)^1)/('BP_Seainnova 2027_2032'!H7/'BP_Seainnova 2027_2032'!C7-Assunzioni!$C$46)</f>
        <v/>
      </c>
      <c r="E6">
        <f>(Assunzioni!$C$27*(1+Assunzioni!$C$28/100)^1*1.15)/('BP_Seainnova 2027_2032'!H7/'BP_Seainnova 2027_2032'!C7-Assunzioni!$C$46)</f>
        <v/>
      </c>
      <c r="F6">
        <f>(Assunzioni!$C$27*(1+Assunzioni!$C$28/100)^1)/('BP_Seainnova 2027_2032'!H7/'BP_Seainnova 2027_2032'!C7-Assunzioni!$C$46*1.1)</f>
        <v/>
      </c>
      <c r="G6" s="102">
        <f>(C6-D6)/C6</f>
        <v/>
      </c>
    </row>
    <row r="7">
      <c r="B7" t="n">
        <v>2029</v>
      </c>
      <c r="C7" t="n">
        <v>175</v>
      </c>
      <c r="D7">
        <f>(Assunzioni!$C$27*(1+Assunzioni!$C$28/100)^2)/('BP_Seainnova 2027_2032'!H8/'BP_Seainnova 2027_2032'!C8-Assunzioni!$C$46)</f>
        <v/>
      </c>
      <c r="E7">
        <f>(Assunzioni!$C$27*(1+Assunzioni!$C$28/100)^2*1.15)/('BP_Seainnova 2027_2032'!H8/'BP_Seainnova 2027_2032'!C8-Assunzioni!$C$46)</f>
        <v/>
      </c>
      <c r="F7">
        <f>(Assunzioni!$C$27*(1+Assunzioni!$C$28/100)^2)/('BP_Seainnova 2027_2032'!H8/'BP_Seainnova 2027_2032'!C8-Assunzioni!$C$46*1.1)</f>
        <v/>
      </c>
      <c r="G7" s="102">
        <f>(C7-D7)/C7</f>
        <v/>
      </c>
    </row>
    <row r="8">
      <c r="B8" t="n">
        <v>2030</v>
      </c>
      <c r="C8" t="n">
        <v>315</v>
      </c>
      <c r="D8">
        <f>(Assunzioni!$C$27*(1+Assunzioni!$C$28/100)^3)/('BP_Seainnova 2027_2032'!H9/'BP_Seainnova 2027_2032'!C9-Assunzioni!$C$46)</f>
        <v/>
      </c>
      <c r="E8">
        <f>(Assunzioni!$C$27*(1+Assunzioni!$C$28/100)^3*1.15)/('BP_Seainnova 2027_2032'!H9/'BP_Seainnova 2027_2032'!C9-Assunzioni!$C$46)</f>
        <v/>
      </c>
      <c r="F8">
        <f>(Assunzioni!$C$27*(1+Assunzioni!$C$28/100)^3)/('BP_Seainnova 2027_2032'!H9/'BP_Seainnova 2027_2032'!C9-Assunzioni!$C$46*1.1)</f>
        <v/>
      </c>
      <c r="G8" s="102">
        <f>(C8-D8)/C8</f>
        <v/>
      </c>
    </row>
    <row r="9">
      <c r="B9" t="n">
        <v>2031</v>
      </c>
      <c r="C9" t="n">
        <v>495</v>
      </c>
      <c r="D9">
        <f>(Assunzioni!$C$27*(1+Assunzioni!$C$28/100)^4)/('BP_Seainnova 2027_2032'!H10/'BP_Seainnova 2027_2032'!C10-Assunzioni!$C$46)</f>
        <v/>
      </c>
      <c r="E9">
        <f>(Assunzioni!$C$27*(1+Assunzioni!$C$28/100)^4*1.15)/('BP_Seainnova 2027_2032'!H10/'BP_Seainnova 2027_2032'!C10-Assunzioni!$C$46)</f>
        <v/>
      </c>
      <c r="F9">
        <f>(Assunzioni!$C$27*(1+Assunzioni!$C$28/100)^4)/('BP_Seainnova 2027_2032'!H10/'BP_Seainnova 2027_2032'!C10-Assunzioni!$C$46*1.1)</f>
        <v/>
      </c>
      <c r="G9" s="102">
        <f>(C9-D9)/C9</f>
        <v/>
      </c>
    </row>
    <row r="10">
      <c r="B10" t="n">
        <v>2032</v>
      </c>
      <c r="C10" t="n">
        <v>715</v>
      </c>
      <c r="D10">
        <f>(Assunzioni!$C$27*(1+Assunzioni!$C$28/100)^5)/('BP_Seainnova 2027_2032'!H11/'BP_Seainnova 2027_2032'!C11-Assunzioni!$C$46)</f>
        <v/>
      </c>
      <c r="E10">
        <f>(Assunzioni!$C$27*(1+Assunzioni!$C$28/100)^5*1.15)/('BP_Seainnova 2027_2032'!H11/'BP_Seainnova 2027_2032'!C11-Assunzioni!$C$46)</f>
        <v/>
      </c>
      <c r="F10">
        <f>(Assunzioni!$C$27*(1+Assunzioni!$C$28/100)^5)/('BP_Seainnova 2027_2032'!H11/'BP_Seainnova 2027_2032'!C11-Assunzioni!$C$46*1.1)</f>
        <v/>
      </c>
      <c r="G10" s="102">
        <f>(C10-D10)/C10</f>
        <v/>
      </c>
    </row>
  </sheetData>
  <hyperlinks>
    <hyperlink ref="B1" location="'INDICE'!A1" display="TORNA ALL'INDICE"/>
  </hyperlink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1:F49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3" customWidth="1" style="133" min="1" max="1"/>
    <col width="7" customWidth="1" style="133" min="2" max="2"/>
    <col width="36" customWidth="1" style="133" min="3" max="3"/>
    <col width="16" customWidth="1" style="133" min="4" max="5"/>
    <col width="10" customWidth="1" style="133" min="6" max="6"/>
  </cols>
  <sheetData>
    <row r="1" ht="28" customHeight="1" s="133">
      <c r="B1" s="149" t="inlineStr">
        <is>
          <t>MATRICE DI COERENZA DEI FLUSSI</t>
        </is>
      </c>
    </row>
    <row r="2" ht="18" customHeight="1" s="133">
      <c r="B2" s="148" t="inlineStr">
        <is>
          <t>Ricalcolo indipendente dalle Assunzioni vs formule del BP</t>
        </is>
      </c>
    </row>
    <row r="4" ht="22" customHeight="1" s="133">
      <c r="B4" s="147" t="inlineStr">
        <is>
          <t>RICALCOLO INDIPENDENTE (dalle Assunzioni) vs RISULTATI BP</t>
        </is>
      </c>
    </row>
    <row r="5" ht="24" customHeight="1" s="133">
      <c r="B5" s="114" t="inlineStr">
        <is>
          <t>Anno</t>
        </is>
      </c>
      <c r="C5" s="114" t="inlineStr">
        <is>
          <t>Controllo</t>
        </is>
      </c>
      <c r="D5" s="114" t="inlineStr">
        <is>
          <t>Ricalcolo</t>
        </is>
      </c>
      <c r="E5" s="114" t="inlineStr">
        <is>
          <t>Valore BP</t>
        </is>
      </c>
      <c r="F5" s="114" t="inlineStr">
        <is>
          <t>Esito</t>
        </is>
      </c>
    </row>
    <row r="6" ht="18" customHeight="1" s="133">
      <c r="B6" s="115" t="n">
        <v>2027</v>
      </c>
      <c r="C6" s="116" t="inlineStr">
        <is>
          <t>Ricavi</t>
        </is>
      </c>
      <c r="D6" s="117">
        <f>SUM(Assunzioni!C8:C8)*(Assunzioni!D17/100)*Assunzioni!E17*Assunzioni!C17</f>
        <v/>
      </c>
      <c r="E6" s="117">
        <f>'BP_Seainnova 2027_2032'!H6</f>
        <v/>
      </c>
      <c r="F6" s="119">
        <f>IF(ABS(D6-E6)&lt;1,"OK","ERRORE")</f>
        <v/>
      </c>
    </row>
    <row r="7" ht="18" customHeight="1" s="133">
      <c r="B7" s="115" t="n"/>
      <c r="C7" s="116" t="inlineStr">
        <is>
          <t>OPEX</t>
        </is>
      </c>
      <c r="D7" s="117">
        <f>Assunzioni!$C$27*(1+Assunzioni!$C$28/100)^0+Assunzioni!$C$46*SUM(Assunzioni!C8:C8)</f>
        <v/>
      </c>
      <c r="E7" s="117">
        <f>'BP_Seainnova 2027_2032'!J6</f>
        <v/>
      </c>
      <c r="F7" s="119">
        <f>IF(ABS(D7-E7)&lt;1,"OK","ERRORE")</f>
        <v/>
      </c>
    </row>
    <row r="8" ht="18" customHeight="1" s="133">
      <c r="B8" s="115" t="n"/>
      <c r="C8" s="116" t="inlineStr">
        <is>
          <t>CAPEX Boe</t>
        </is>
      </c>
      <c r="D8" s="117">
        <f>Assunzioni!C8*Assunzioni!$C$26*(1-Assunzioni!$C$36/100)</f>
        <v/>
      </c>
      <c r="E8" s="117">
        <f>'BP_Seainnova 2027_2032'!I6</f>
        <v/>
      </c>
      <c r="F8" s="119">
        <f>IF(ABS(D8-E8)&lt;1,"OK","ERRORE")</f>
        <v/>
      </c>
    </row>
    <row r="9" ht="18" customHeight="1" s="133">
      <c r="B9" s="115" t="n"/>
      <c r="C9" s="116" t="inlineStr">
        <is>
          <t>Ammortamenti</t>
        </is>
      </c>
      <c r="D9" s="117">
        <f>Assunzioni!D115</f>
        <v/>
      </c>
      <c r="E9" s="117">
        <f>'BP_Seainnova 2027_2032'!K6</f>
        <v/>
      </c>
      <c r="F9" s="119">
        <f>IF(ABS(D9-E9)&lt;1,"OK","ERRORE")</f>
        <v/>
      </c>
    </row>
    <row r="10" ht="18" customHeight="1" s="133">
      <c r="B10" s="115" t="n"/>
      <c r="C10" s="116" t="inlineStr">
        <is>
          <t>EBITDA</t>
        </is>
      </c>
      <c r="D10" s="117">
        <f>D6-D7</f>
        <v/>
      </c>
      <c r="E10" s="117">
        <f>'BP_Seainnova 2027_2032'!L6</f>
        <v/>
      </c>
      <c r="F10" s="119">
        <f>IF(ABS(D10-E10)&lt;1,"OK","ERRORE")</f>
        <v/>
      </c>
    </row>
    <row r="11" ht="18" customHeight="1" s="133">
      <c r="B11" s="115" t="n"/>
      <c r="C11" s="116" t="inlineStr">
        <is>
          <t>EBIT</t>
        </is>
      </c>
      <c r="D11" s="117">
        <f>D10-D9</f>
        <v/>
      </c>
      <c r="E11" s="117">
        <f>'BP_Seainnova 2027_2032'!M6</f>
        <v/>
      </c>
      <c r="F11" s="119">
        <f>IF(ABS(D11-E11)&lt;1,"OK","ERRORE")</f>
        <v/>
      </c>
    </row>
    <row r="12" ht="18" customHeight="1" s="133">
      <c r="B12" s="120" t="n">
        <v>2028</v>
      </c>
      <c r="C12" s="121" t="inlineStr">
        <is>
          <t>Ricavi</t>
        </is>
      </c>
      <c r="D12" s="122">
        <f>SUM(Assunzioni!C8:C9)*(Assunzioni!D18/100)*Assunzioni!E18*Assunzioni!C18</f>
        <v/>
      </c>
      <c r="E12" s="122">
        <f>'BP_Seainnova 2027_2032'!H7</f>
        <v/>
      </c>
      <c r="F12" s="123">
        <f>IF(ABS(D12-E12)&lt;1,"OK","ERRORE")</f>
        <v/>
      </c>
    </row>
    <row r="13" ht="18" customHeight="1" s="133">
      <c r="B13" s="120" t="n"/>
      <c r="C13" s="121" t="inlineStr">
        <is>
          <t>OPEX</t>
        </is>
      </c>
      <c r="D13" s="122">
        <f>Assunzioni!$C$27*(1+Assunzioni!$C$28/100)^1+Assunzioni!$C$46*SUM(Assunzioni!C8:C9)</f>
        <v/>
      </c>
      <c r="E13" s="122">
        <f>'BP_Seainnova 2027_2032'!J7</f>
        <v/>
      </c>
      <c r="F13" s="123">
        <f>IF(ABS(D13-E13)&lt;1,"OK","ERRORE")</f>
        <v/>
      </c>
    </row>
    <row r="14" ht="18" customHeight="1" s="133">
      <c r="B14" s="120" t="n"/>
      <c r="C14" s="121" t="inlineStr">
        <is>
          <t>CAPEX Boe</t>
        </is>
      </c>
      <c r="D14" s="122">
        <f>Assunzioni!C9*Assunzioni!$C$26*(1-Assunzioni!$C$36/100)</f>
        <v/>
      </c>
      <c r="E14" s="122">
        <f>'BP_Seainnova 2027_2032'!I7</f>
        <v/>
      </c>
      <c r="F14" s="123">
        <f>IF(ABS(D14-E14)&lt;1,"OK","ERRORE")</f>
        <v/>
      </c>
    </row>
    <row r="15" ht="18" customHeight="1" s="133">
      <c r="B15" s="120" t="n"/>
      <c r="C15" s="121" t="inlineStr">
        <is>
          <t>Ammortamenti</t>
        </is>
      </c>
      <c r="D15" s="122">
        <f>Assunzioni!E115</f>
        <v/>
      </c>
      <c r="E15" s="122">
        <f>'BP_Seainnova 2027_2032'!K7</f>
        <v/>
      </c>
      <c r="F15" s="123">
        <f>IF(ABS(D15-E15)&lt;1,"OK","ERRORE")</f>
        <v/>
      </c>
    </row>
    <row r="16" ht="18" customHeight="1" s="133">
      <c r="B16" s="120" t="n"/>
      <c r="C16" s="121" t="inlineStr">
        <is>
          <t>EBITDA</t>
        </is>
      </c>
      <c r="D16" s="122">
        <f>D12-D13</f>
        <v/>
      </c>
      <c r="E16" s="122">
        <f>'BP_Seainnova 2027_2032'!L7</f>
        <v/>
      </c>
      <c r="F16" s="123">
        <f>IF(ABS(D16-E16)&lt;1,"OK","ERRORE")</f>
        <v/>
      </c>
    </row>
    <row r="17" ht="18" customHeight="1" s="133">
      <c r="B17" s="120" t="n"/>
      <c r="C17" s="121" t="inlineStr">
        <is>
          <t>EBIT</t>
        </is>
      </c>
      <c r="D17" s="122">
        <f>D16-D15</f>
        <v/>
      </c>
      <c r="E17" s="122">
        <f>'BP_Seainnova 2027_2032'!M7</f>
        <v/>
      </c>
      <c r="F17" s="123">
        <f>IF(ABS(D17-E17)&lt;1,"OK","ERRORE")</f>
        <v/>
      </c>
    </row>
    <row r="18" ht="18" customHeight="1" s="133">
      <c r="B18" s="115" t="n">
        <v>2029</v>
      </c>
      <c r="C18" s="116" t="inlineStr">
        <is>
          <t>Ricavi</t>
        </is>
      </c>
      <c r="D18" s="117">
        <f>SUM(Assunzioni!C8:C10)*(Assunzioni!D19/100)*Assunzioni!E19*Assunzioni!C19</f>
        <v/>
      </c>
      <c r="E18" s="117">
        <f>'BP_Seainnova 2027_2032'!H8</f>
        <v/>
      </c>
      <c r="F18" s="119">
        <f>IF(ABS(D18-E18)&lt;1,"OK","ERRORE")</f>
        <v/>
      </c>
    </row>
    <row r="19" ht="18" customHeight="1" s="133">
      <c r="B19" s="115" t="n"/>
      <c r="C19" s="116" t="inlineStr">
        <is>
          <t>OPEX</t>
        </is>
      </c>
      <c r="D19" s="117">
        <f>Assunzioni!$C$27*(1+Assunzioni!$C$28/100)^2+Assunzioni!$C$46*SUM(Assunzioni!C8:C10)</f>
        <v/>
      </c>
      <c r="E19" s="117">
        <f>'BP_Seainnova 2027_2032'!J8</f>
        <v/>
      </c>
      <c r="F19" s="119">
        <f>IF(ABS(D19-E19)&lt;1,"OK","ERRORE")</f>
        <v/>
      </c>
    </row>
    <row r="20" ht="18" customHeight="1" s="133">
      <c r="B20" s="115" t="n"/>
      <c r="C20" s="116" t="inlineStr">
        <is>
          <t>CAPEX Boe</t>
        </is>
      </c>
      <c r="D20" s="117">
        <f>Assunzioni!C10*Assunzioni!$C$26*(1-Assunzioni!$C$36/100)</f>
        <v/>
      </c>
      <c r="E20" s="117">
        <f>'BP_Seainnova 2027_2032'!I8</f>
        <v/>
      </c>
      <c r="F20" s="119">
        <f>IF(ABS(D20-E20)&lt;1,"OK","ERRORE")</f>
        <v/>
      </c>
    </row>
    <row r="21" ht="18" customHeight="1" s="133">
      <c r="B21" s="115" t="n"/>
      <c r="C21" s="116" t="inlineStr">
        <is>
          <t>Ammortamenti</t>
        </is>
      </c>
      <c r="D21" s="117">
        <f>Assunzioni!F115</f>
        <v/>
      </c>
      <c r="E21" s="117">
        <f>'BP_Seainnova 2027_2032'!K8</f>
        <v/>
      </c>
      <c r="F21" s="119">
        <f>IF(ABS(D21-E21)&lt;1,"OK","ERRORE")</f>
        <v/>
      </c>
    </row>
    <row r="22" ht="18" customHeight="1" s="133">
      <c r="B22" s="115" t="n"/>
      <c r="C22" s="116" t="inlineStr">
        <is>
          <t>EBITDA</t>
        </is>
      </c>
      <c r="D22" s="117">
        <f>D18-D19</f>
        <v/>
      </c>
      <c r="E22" s="117">
        <f>'BP_Seainnova 2027_2032'!L8</f>
        <v/>
      </c>
      <c r="F22" s="119">
        <f>IF(ABS(D22-E22)&lt;1,"OK","ERRORE")</f>
        <v/>
      </c>
    </row>
    <row r="23" ht="18" customHeight="1" s="133">
      <c r="B23" s="115" t="n"/>
      <c r="C23" s="116" t="inlineStr">
        <is>
          <t>EBIT</t>
        </is>
      </c>
      <c r="D23" s="117">
        <f>D22-D21</f>
        <v/>
      </c>
      <c r="E23" s="117">
        <f>'BP_Seainnova 2027_2032'!M8</f>
        <v/>
      </c>
      <c r="F23" s="119">
        <f>IF(ABS(D23-E23)&lt;1,"OK","ERRORE")</f>
        <v/>
      </c>
    </row>
    <row r="24" ht="18" customHeight="1" s="133">
      <c r="B24" s="120" t="n">
        <v>2030</v>
      </c>
      <c r="C24" s="121" t="inlineStr">
        <is>
          <t>Ricavi</t>
        </is>
      </c>
      <c r="D24" s="122">
        <f>SUM(Assunzioni!C8:C11)*(Assunzioni!D20/100)*Assunzioni!E20*Assunzioni!C20</f>
        <v/>
      </c>
      <c r="E24" s="122">
        <f>'BP_Seainnova 2027_2032'!H9</f>
        <v/>
      </c>
      <c r="F24" s="123">
        <f>IF(ABS(D24-E24)&lt;1,"OK","ERRORE")</f>
        <v/>
      </c>
    </row>
    <row r="25" ht="18" customHeight="1" s="133">
      <c r="B25" s="120" t="n"/>
      <c r="C25" s="121" t="inlineStr">
        <is>
          <t>OPEX</t>
        </is>
      </c>
      <c r="D25" s="122">
        <f>Assunzioni!$C$27*(1+Assunzioni!$C$28/100)^3+Assunzioni!$C$46*SUM(Assunzioni!C8:C11)</f>
        <v/>
      </c>
      <c r="E25" s="122">
        <f>'BP_Seainnova 2027_2032'!J9</f>
        <v/>
      </c>
      <c r="F25" s="123">
        <f>IF(ABS(D25-E25)&lt;1,"OK","ERRORE")</f>
        <v/>
      </c>
    </row>
    <row r="26" ht="18" customHeight="1" s="133">
      <c r="B26" s="120" t="n"/>
      <c r="C26" s="121" t="inlineStr">
        <is>
          <t>CAPEX Boe</t>
        </is>
      </c>
      <c r="D26" s="122">
        <f>Assunzioni!C11*Assunzioni!$C$26*(1-Assunzioni!$C$36/100)</f>
        <v/>
      </c>
      <c r="E26" s="122">
        <f>'BP_Seainnova 2027_2032'!I9</f>
        <v/>
      </c>
      <c r="F26" s="123">
        <f>IF(ABS(D26-E26)&lt;1,"OK","ERRORE")</f>
        <v/>
      </c>
    </row>
    <row r="27" ht="18" customHeight="1" s="133">
      <c r="B27" s="120" t="n"/>
      <c r="C27" s="121" t="inlineStr">
        <is>
          <t>Ammortamenti</t>
        </is>
      </c>
      <c r="D27" s="122">
        <f>Assunzioni!G115</f>
        <v/>
      </c>
      <c r="E27" s="122">
        <f>'BP_Seainnova 2027_2032'!K9</f>
        <v/>
      </c>
      <c r="F27" s="123">
        <f>IF(ABS(D27-E27)&lt;1,"OK","ERRORE")</f>
        <v/>
      </c>
    </row>
    <row r="28" ht="18" customHeight="1" s="133">
      <c r="B28" s="120" t="n"/>
      <c r="C28" s="121" t="inlineStr">
        <is>
          <t>EBITDA</t>
        </is>
      </c>
      <c r="D28" s="122">
        <f>D24-D25</f>
        <v/>
      </c>
      <c r="E28" s="122">
        <f>'BP_Seainnova 2027_2032'!L9</f>
        <v/>
      </c>
      <c r="F28" s="123">
        <f>IF(ABS(D28-E28)&lt;1,"OK","ERRORE")</f>
        <v/>
      </c>
    </row>
    <row r="29" ht="18" customHeight="1" s="133">
      <c r="B29" s="120" t="n"/>
      <c r="C29" s="121" t="inlineStr">
        <is>
          <t>EBIT</t>
        </is>
      </c>
      <c r="D29" s="122">
        <f>D28-D27</f>
        <v/>
      </c>
      <c r="E29" s="122">
        <f>'BP_Seainnova 2027_2032'!M9</f>
        <v/>
      </c>
      <c r="F29" s="123">
        <f>IF(ABS(D29-E29)&lt;1,"OK","ERRORE")</f>
        <v/>
      </c>
    </row>
    <row r="30" ht="18" customHeight="1" s="133">
      <c r="B30" s="115" t="n">
        <v>2031</v>
      </c>
      <c r="C30" s="116" t="inlineStr">
        <is>
          <t>Ricavi</t>
        </is>
      </c>
      <c r="D30" s="117">
        <f>SUM(Assunzioni!C8:C12)*(Assunzioni!D21/100)*Assunzioni!E21*Assunzioni!C21</f>
        <v/>
      </c>
      <c r="E30" s="117">
        <f>'BP_Seainnova 2027_2032'!H10</f>
        <v/>
      </c>
      <c r="F30" s="119">
        <f>IF(ABS(D30-E30)&lt;1,"OK","ERRORE")</f>
        <v/>
      </c>
    </row>
    <row r="31" ht="18" customHeight="1" s="133">
      <c r="B31" s="115" t="n"/>
      <c r="C31" s="116" t="inlineStr">
        <is>
          <t>OPEX</t>
        </is>
      </c>
      <c r="D31" s="117">
        <f>Assunzioni!$C$27*(1+Assunzioni!$C$28/100)^4+Assunzioni!$C$46*SUM(Assunzioni!C8:C12)</f>
        <v/>
      </c>
      <c r="E31" s="117">
        <f>'BP_Seainnova 2027_2032'!J10</f>
        <v/>
      </c>
      <c r="F31" s="119">
        <f>IF(ABS(D31-E31)&lt;1,"OK","ERRORE")</f>
        <v/>
      </c>
    </row>
    <row r="32" ht="18" customHeight="1" s="133">
      <c r="B32" s="115" t="n"/>
      <c r="C32" s="116" t="inlineStr">
        <is>
          <t>CAPEX Boe</t>
        </is>
      </c>
      <c r="D32" s="117">
        <f>Assunzioni!C12*Assunzioni!$C$26*(1-Assunzioni!$C$36/100)</f>
        <v/>
      </c>
      <c r="E32" s="117">
        <f>'BP_Seainnova 2027_2032'!I10</f>
        <v/>
      </c>
      <c r="F32" s="119">
        <f>IF(ABS(D32-E32)&lt;1,"OK","ERRORE")</f>
        <v/>
      </c>
    </row>
    <row r="33" ht="18" customHeight="1" s="133">
      <c r="B33" s="115" t="n"/>
      <c r="C33" s="116" t="inlineStr">
        <is>
          <t>Ammortamenti</t>
        </is>
      </c>
      <c r="D33" s="117">
        <f>Assunzioni!H115</f>
        <v/>
      </c>
      <c r="E33" s="117">
        <f>'BP_Seainnova 2027_2032'!K10</f>
        <v/>
      </c>
      <c r="F33" s="119">
        <f>IF(ABS(D33-E33)&lt;1,"OK","ERRORE")</f>
        <v/>
      </c>
    </row>
    <row r="34" ht="18" customHeight="1" s="133">
      <c r="B34" s="115" t="n"/>
      <c r="C34" s="116" t="inlineStr">
        <is>
          <t>EBITDA</t>
        </is>
      </c>
      <c r="D34" s="117">
        <f>D30-D31</f>
        <v/>
      </c>
      <c r="E34" s="117">
        <f>'BP_Seainnova 2027_2032'!L10</f>
        <v/>
      </c>
      <c r="F34" s="119">
        <f>IF(ABS(D34-E34)&lt;1,"OK","ERRORE")</f>
        <v/>
      </c>
    </row>
    <row r="35" ht="18" customHeight="1" s="133">
      <c r="B35" s="115" t="n"/>
      <c r="C35" s="116" t="inlineStr">
        <is>
          <t>EBIT</t>
        </is>
      </c>
      <c r="D35" s="117">
        <f>D34-D33</f>
        <v/>
      </c>
      <c r="E35" s="117">
        <f>'BP_Seainnova 2027_2032'!M10</f>
        <v/>
      </c>
      <c r="F35" s="119">
        <f>IF(ABS(D35-E35)&lt;1,"OK","ERRORE")</f>
        <v/>
      </c>
    </row>
    <row r="36" ht="18" customHeight="1" s="133">
      <c r="B36" s="120" t="n">
        <v>2032</v>
      </c>
      <c r="C36" s="121" t="inlineStr">
        <is>
          <t>Ricavi</t>
        </is>
      </c>
      <c r="D36" s="122">
        <f>SUM(Assunzioni!C8:C13)*(Assunzioni!D22/100)*Assunzioni!E22*Assunzioni!C22</f>
        <v/>
      </c>
      <c r="E36" s="122">
        <f>'BP_Seainnova 2027_2032'!H11</f>
        <v/>
      </c>
      <c r="F36" s="123">
        <f>IF(ABS(D36-E36)&lt;1,"OK","ERRORE")</f>
        <v/>
      </c>
    </row>
    <row r="37" ht="18" customHeight="1" s="133">
      <c r="B37" s="120" t="n"/>
      <c r="C37" s="121" t="inlineStr">
        <is>
          <t>OPEX</t>
        </is>
      </c>
      <c r="D37" s="122">
        <f>Assunzioni!$C$27*(1+Assunzioni!$C$28/100)^5+Assunzioni!$C$46*SUM(Assunzioni!C8:C13)</f>
        <v/>
      </c>
      <c r="E37" s="122">
        <f>'BP_Seainnova 2027_2032'!J11</f>
        <v/>
      </c>
      <c r="F37" s="123">
        <f>IF(ABS(D37-E37)&lt;1,"OK","ERRORE")</f>
        <v/>
      </c>
    </row>
    <row r="38" ht="18" customHeight="1" s="133">
      <c r="B38" s="120" t="n"/>
      <c r="C38" s="121" t="inlineStr">
        <is>
          <t>CAPEX Boe</t>
        </is>
      </c>
      <c r="D38" s="122">
        <f>Assunzioni!C13*Assunzioni!$C$26*(1-Assunzioni!$C$36/100)</f>
        <v/>
      </c>
      <c r="E38" s="122">
        <f>'BP_Seainnova 2027_2032'!I11</f>
        <v/>
      </c>
      <c r="F38" s="123">
        <f>IF(ABS(D38-E38)&lt;1,"OK","ERRORE")</f>
        <v/>
      </c>
    </row>
    <row r="39" ht="18" customHeight="1" s="133">
      <c r="B39" s="120" t="n"/>
      <c r="C39" s="121" t="inlineStr">
        <is>
          <t>Ammortamenti</t>
        </is>
      </c>
      <c r="D39" s="122">
        <f>Assunzioni!I115</f>
        <v/>
      </c>
      <c r="E39" s="122">
        <f>'BP_Seainnova 2027_2032'!K11</f>
        <v/>
      </c>
      <c r="F39" s="123">
        <f>IF(ABS(D39-E39)&lt;1,"OK","ERRORE")</f>
        <v/>
      </c>
    </row>
    <row r="40" ht="18" customHeight="1" s="133">
      <c r="B40" s="120" t="n"/>
      <c r="C40" s="121" t="inlineStr">
        <is>
          <t>EBITDA</t>
        </is>
      </c>
      <c r="D40" s="122">
        <f>D36-D37</f>
        <v/>
      </c>
      <c r="E40" s="122">
        <f>'BP_Seainnova 2027_2032'!L11</f>
        <v/>
      </c>
      <c r="F40" s="123">
        <f>IF(ABS(D40-E40)&lt;1,"OK","ERRORE")</f>
        <v/>
      </c>
    </row>
    <row r="41" ht="18" customHeight="1" s="133">
      <c r="B41" s="120" t="n"/>
      <c r="C41" s="121" t="inlineStr">
        <is>
          <t>EBIT</t>
        </is>
      </c>
      <c r="D41" s="122">
        <f>D40-D39</f>
        <v/>
      </c>
      <c r="E41" s="122">
        <f>'BP_Seainnova 2027_2032'!M11</f>
        <v/>
      </c>
      <c r="F41" s="123">
        <f>IF(ABS(D41-E41)&lt;1,"OK","ERRORE")</f>
        <v/>
      </c>
    </row>
    <row r="43" ht="22" customHeight="1" s="133">
      <c r="B43" s="147" t="inlineStr">
        <is>
          <t>RIEPILOGO</t>
        </is>
      </c>
    </row>
    <row r="44" ht="20" customHeight="1" s="133">
      <c r="B44" s="124" t="inlineStr">
        <is>
          <t>Controlli eseguiti</t>
        </is>
      </c>
      <c r="C44" s="125">
        <f>COUNTA(F6:F41)</f>
        <v/>
      </c>
      <c r="D44" s="126" t="n"/>
      <c r="E44" s="126" t="n"/>
      <c r="F44" s="126" t="n"/>
    </row>
    <row r="45" ht="20" customHeight="1" s="133">
      <c r="B45" s="127" t="inlineStr">
        <is>
          <t>Superati</t>
        </is>
      </c>
      <c r="C45" s="118">
        <f>COUNTIF(F6:F41,"OK")</f>
        <v/>
      </c>
      <c r="D45" s="128" t="n"/>
      <c r="E45" s="128" t="n"/>
      <c r="F45" s="128" t="n"/>
    </row>
    <row r="46" ht="20" customHeight="1" s="133">
      <c r="B46" s="129" t="inlineStr">
        <is>
          <t>Anomalie</t>
        </is>
      </c>
      <c r="C46" s="130">
        <f>COUNTIF(F6:F41,"ERRORE")</f>
        <v/>
      </c>
      <c r="D46" s="131" t="n"/>
      <c r="E46" s="131" t="n"/>
      <c r="F46" s="131" t="n"/>
    </row>
    <row r="47" ht="24" customHeight="1" s="133">
      <c r="B47" s="124" t="inlineStr">
        <is>
          <t>Stato</t>
        </is>
      </c>
      <c r="C47" s="150">
        <f>IF(COUNTIF(F6:F41,"ERRORE")=0,"COERENZA VERIFICATA","ANOMALIE DA CORREGGERE")</f>
        <v/>
      </c>
      <c r="D47" s="151" t="n"/>
      <c r="E47" s="151" t="n"/>
      <c r="F47" s="152" t="n"/>
    </row>
    <row r="49">
      <c r="B49" s="153" t="inlineStr">
        <is>
          <t>Ogni valore e ricalcolato dai parametri Assunzioni senza leggere il BP. Tolleranza: 1 euro.</t>
        </is>
      </c>
    </row>
  </sheetData>
  <mergeCells count="6">
    <mergeCell ref="B4:F4"/>
    <mergeCell ref="B43:F43"/>
    <mergeCell ref="B2:F2"/>
    <mergeCell ref="B1:F1"/>
    <mergeCell ref="C47:F47"/>
    <mergeCell ref="B49:F49"/>
  </mergeCells>
  <conditionalFormatting sqref="F6:F41">
    <cfRule type="cellIs" priority="1" operator="equal" dxfId="1">
      <formula>"OK"</formula>
    </cfRule>
    <cfRule type="cellIs" priority="2" operator="equal" dxfId="0">
      <formula>"ERRORE"</formula>
    </cfRule>
  </conditionalFormatting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2025-12-30T19:23:34Z</dcterms:created>
  <dcterms:modified xsi:type="dcterms:W3CDTF">2026-05-08T21:00:03Z</dcterms:modified>
  <cp:lastModifiedBy>luca Rovere</cp:lastModifiedBy>
  <cp:revision>1</cp:revision>
</cp:coreProperties>
</file>